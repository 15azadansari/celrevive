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A06DDE32-3A60-4566-B1A1-F5D1EA0633F3}" xr6:coauthVersionLast="47" xr6:coauthVersionMax="47" xr10:uidLastSave="{00000000-0000-0000-0000-000000000000}"/>
  <bookViews>
    <workbookView xWindow="-108" yWindow="-108" windowWidth="23256" windowHeight="13176" activeTab="2" xr2:uid="{00000000-000D-0000-FFFF-FFFF00000000}"/>
  </bookViews>
  <sheets>
    <sheet name="Product Backlog" sheetId="4" r:id="rId1"/>
    <sheet name="Sprint Backlog" sheetId="8" r:id="rId2"/>
    <sheet name="Updated Sprint" sheetId="10" r:id="rId3"/>
    <sheet name="Burndown Chart" sheetId="9" r:id="rId4"/>
    <sheet name="T Shirt sizing rules" sheetId="5" r:id="rId5"/>
  </sheets>
  <definedNames>
    <definedName name="_xlnm._FilterDatabase" localSheetId="1" hidden="1">'Sprint Backlog'!$A$2:$J$181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10" l="1" a="1"/>
  <c r="F12" i="10" s="1"/>
  <c r="F14" i="10" a="1"/>
  <c r="F14" i="10" s="1"/>
  <c r="F4" i="10" a="1"/>
  <c r="F4" i="10" s="1"/>
  <c r="F5" i="10" a="1"/>
  <c r="F5" i="10" s="1"/>
  <c r="F6" i="10" a="1"/>
  <c r="F6" i="10" s="1"/>
  <c r="F7" i="10" a="1"/>
  <c r="F7" i="10" s="1"/>
  <c r="F8" i="10" a="1"/>
  <c r="F8" i="10" s="1"/>
  <c r="F9" i="10" a="1"/>
  <c r="F9" i="10" s="1"/>
  <c r="F10" i="10" a="1"/>
  <c r="F10" i="10" s="1"/>
  <c r="F11" i="10" a="1"/>
  <c r="F11" i="10" s="1"/>
  <c r="F13" i="10" a="1"/>
  <c r="F13" i="10" s="1"/>
  <c r="F3" i="10" a="1"/>
  <c r="F3" i="10" s="1"/>
  <c r="F12" i="8" a="1"/>
  <c r="F12" i="8" s="1"/>
  <c r="F3" i="8" a="1"/>
  <c r="F3" i="8" s="1"/>
  <c r="C3" i="5"/>
  <c r="D3" i="5" s="1"/>
  <c r="F15" i="10" l="1"/>
  <c r="D4" i="9" s="1"/>
  <c r="E3" i="5"/>
  <c r="F3" i="5" s="1"/>
  <c r="D10" i="9" l="1"/>
  <c r="C10" i="9"/>
  <c r="D9" i="9"/>
  <c r="D8" i="9"/>
  <c r="D7" i="9"/>
  <c r="D6" i="9"/>
  <c r="C3" i="9"/>
  <c r="D5" i="9"/>
  <c r="C5" i="9"/>
  <c r="D3" i="9"/>
  <c r="C6" i="9"/>
  <c r="D2" i="9"/>
  <c r="C7" i="9"/>
  <c r="C9" i="9"/>
  <c r="C8" i="9"/>
  <c r="C4" i="9"/>
  <c r="G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tc={148E080D-CE22-4CE0-8311-B67C30FEF121}</author>
  </authors>
  <commentList>
    <comment ref="E5" authorId="0" shapeId="0" xr:uid="{00000000-0006-0000-00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Should all skin concerns be listed when we are only addressing top n.</t>
        </r>
      </text>
    </comment>
    <comment ref="E6" authorId="1" shapeId="0" xr:uid="{148E080D-CE22-4CE0-8311-B67C30FEF121}">
      <text>
        <t>[Threaded comment]
Your version of Excel allows you to read this threaded comment; however, any edits to it will get removed if the file is opened in a newer version of Excel. Learn more: https://go.microsoft.com/fwlink/?linkid=870924
Comment:
    Get client verification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2" authorId="0" shapeId="0" xr:uid="{00000000-0006-0000-0100-000001000000}">
      <text>
        <r>
          <rPr>
            <b/>
            <sz val="9"/>
            <color indexed="81"/>
            <rFont val="Tahoma"/>
            <family val="2"/>
          </rPr>
          <t>Author:</t>
        </r>
        <r>
          <rPr>
            <sz val="9"/>
            <color indexed="81"/>
            <rFont val="Tahoma"/>
            <family val="2"/>
          </rPr>
          <t xml:space="preserve">
TBD
WiP
Done</t>
        </r>
      </text>
    </comment>
    <comment ref="C3" authorId="0" shapeId="0" xr:uid="{00000000-0006-0000-0100-000002000000}">
      <text>
        <r>
          <rPr>
            <b/>
            <sz val="9"/>
            <color indexed="81"/>
            <rFont val="Tahoma"/>
            <charset val="1"/>
          </rPr>
          <t>Author:</t>
        </r>
        <r>
          <rPr>
            <sz val="9"/>
            <color indexed="81"/>
            <rFont val="Tahoma"/>
            <charset val="1"/>
          </rPr>
          <t xml:space="preserve">
Receive &amp; Validate Image</t>
        </r>
      </text>
    </comment>
    <comment ref="C12" authorId="0" shapeId="0" xr:uid="{00000000-0006-0000-0100-000003000000}">
      <text>
        <r>
          <rPr>
            <b/>
            <sz val="9"/>
            <color indexed="81"/>
            <rFont val="Tahoma"/>
            <charset val="1"/>
          </rPr>
          <t>Author:</t>
        </r>
        <r>
          <rPr>
            <sz val="9"/>
            <color indexed="81"/>
            <rFont val="Tahoma"/>
            <charset val="1"/>
          </rPr>
          <t xml:space="preserve">
Image Quality Decision</t>
        </r>
      </text>
    </comment>
    <comment ref="C15" authorId="0" shapeId="0" xr:uid="{00000000-0006-0000-0100-000004000000}">
      <text>
        <r>
          <rPr>
            <b/>
            <sz val="9"/>
            <color indexed="81"/>
            <rFont val="Tahoma"/>
            <family val="2"/>
          </rPr>
          <t>Author:</t>
        </r>
        <r>
          <rPr>
            <sz val="9"/>
            <color indexed="81"/>
            <rFont val="Tahoma"/>
            <charset val="1"/>
          </rPr>
          <t xml:space="preserve">
Rejection Flow</t>
        </r>
      </text>
    </comment>
    <comment ref="C18" authorId="0" shapeId="0" xr:uid="{00000000-0006-0000-0100-000005000000}">
      <text>
        <r>
          <rPr>
            <b/>
            <sz val="9"/>
            <color indexed="81"/>
            <rFont val="Tahoma"/>
            <family val="2"/>
          </rPr>
          <t>Author:</t>
        </r>
        <r>
          <rPr>
            <sz val="9"/>
            <color indexed="81"/>
            <rFont val="Tahoma"/>
            <charset val="1"/>
          </rPr>
          <t xml:space="preserve">
Testing</t>
        </r>
      </text>
    </comment>
    <comment ref="C26" authorId="0" shapeId="0" xr:uid="{00000000-0006-0000-0100-000006000000}">
      <text>
        <r>
          <rPr>
            <b/>
            <sz val="9"/>
            <color indexed="81"/>
            <rFont val="Tahoma"/>
            <family val="2"/>
          </rPr>
          <t>Author:</t>
        </r>
        <r>
          <rPr>
            <sz val="9"/>
            <color indexed="81"/>
            <rFont val="Tahoma"/>
            <family val="2"/>
          </rPr>
          <t xml:space="preserve">
Image Session Storage
</t>
        </r>
      </text>
    </comment>
    <comment ref="C29" authorId="0" shapeId="0" xr:uid="{00000000-0006-0000-0100-000007000000}">
      <text>
        <r>
          <rPr>
            <b/>
            <sz val="9"/>
            <color indexed="81"/>
            <rFont val="Tahoma"/>
            <family val="2"/>
          </rPr>
          <t>Author:</t>
        </r>
        <r>
          <rPr>
            <sz val="9"/>
            <color indexed="81"/>
            <rFont val="Tahoma"/>
            <family val="2"/>
          </rPr>
          <t xml:space="preserve">
Visual AI Output</t>
        </r>
      </text>
    </comment>
    <comment ref="C31" authorId="0" shapeId="0" xr:uid="{00000000-0006-0000-0100-000008000000}">
      <text>
        <r>
          <rPr>
            <b/>
            <sz val="9"/>
            <color indexed="81"/>
            <rFont val="Tahoma"/>
            <family val="2"/>
          </rPr>
          <t>Author:</t>
        </r>
        <r>
          <rPr>
            <sz val="9"/>
            <color indexed="81"/>
            <rFont val="Tahoma"/>
            <family val="2"/>
          </rPr>
          <t xml:space="preserve">
Visual AI Prompt</t>
        </r>
      </text>
    </comment>
    <comment ref="C38" authorId="0" shapeId="0" xr:uid="{00000000-0006-0000-0100-000009000000}">
      <text>
        <r>
          <rPr>
            <b/>
            <sz val="9"/>
            <color indexed="81"/>
            <rFont val="Tahoma"/>
            <family val="2"/>
          </rPr>
          <t>Author:</t>
        </r>
        <r>
          <rPr>
            <sz val="9"/>
            <color indexed="81"/>
            <rFont val="Tahoma"/>
            <family val="2"/>
          </rPr>
          <t xml:space="preserve">
Visual AI Integration</t>
        </r>
      </text>
    </comment>
    <comment ref="C46" authorId="0" shapeId="0" xr:uid="{00000000-0006-0000-0100-00000A000000}">
      <text>
        <r>
          <rPr>
            <b/>
            <sz val="9"/>
            <color indexed="81"/>
            <rFont val="Tahoma"/>
            <family val="2"/>
          </rPr>
          <t>Author:</t>
        </r>
        <r>
          <rPr>
            <sz val="9"/>
            <color indexed="81"/>
            <rFont val="Tahoma"/>
            <family val="2"/>
          </rPr>
          <t xml:space="preserve">
 Store Visual Analysis</t>
        </r>
      </text>
    </comment>
    <comment ref="C50" authorId="0" shapeId="0" xr:uid="{00000000-0006-0000-0100-00000B000000}">
      <text>
        <r>
          <rPr>
            <b/>
            <sz val="9"/>
            <color indexed="81"/>
            <rFont val="Tahoma"/>
            <family val="2"/>
          </rPr>
          <t>Author:</t>
        </r>
        <r>
          <rPr>
            <sz val="9"/>
            <color indexed="81"/>
            <rFont val="Tahoma"/>
            <family val="2"/>
          </rPr>
          <t xml:space="preserve">
Testing</t>
        </r>
      </text>
    </comment>
    <comment ref="C59" authorId="0" shapeId="0" xr:uid="{00000000-0006-0000-0100-00000C000000}">
      <text>
        <r>
          <rPr>
            <b/>
            <sz val="9"/>
            <color indexed="81"/>
            <rFont val="Tahoma"/>
            <family val="2"/>
          </rPr>
          <t>Author:</t>
        </r>
        <r>
          <rPr>
            <sz val="9"/>
            <color indexed="81"/>
            <rFont val="Tahoma"/>
            <family val="2"/>
          </rPr>
          <t xml:space="preserve">
Questionnaire Collection</t>
        </r>
      </text>
    </comment>
    <comment ref="C65" authorId="0" shapeId="0" xr:uid="{00000000-0006-0000-0100-00000D000000}">
      <text>
        <r>
          <rPr>
            <b/>
            <sz val="9"/>
            <color indexed="81"/>
            <rFont val="Tahoma"/>
            <family val="2"/>
          </rPr>
          <t>Author:</t>
        </r>
        <r>
          <rPr>
            <sz val="9"/>
            <color indexed="81"/>
            <rFont val="Tahoma"/>
            <family val="2"/>
          </rPr>
          <t xml:space="preserve">
Questionnaire LLM Analysis</t>
        </r>
      </text>
    </comment>
    <comment ref="C77" authorId="0" shapeId="0" xr:uid="{00000000-0006-0000-0100-00000E000000}">
      <text>
        <r>
          <rPr>
            <b/>
            <sz val="9"/>
            <color indexed="81"/>
            <rFont val="Tahoma"/>
            <family val="2"/>
          </rPr>
          <t>Author:</t>
        </r>
        <r>
          <rPr>
            <sz val="9"/>
            <color indexed="81"/>
            <rFont val="Tahoma"/>
            <family val="2"/>
          </rPr>
          <t xml:space="preserve">
Concern Fusion</t>
        </r>
      </text>
    </comment>
    <comment ref="C88" authorId="0" shapeId="0" xr:uid="{00000000-0006-0000-0100-00000F000000}">
      <text>
        <r>
          <rPr>
            <b/>
            <sz val="9"/>
            <color indexed="81"/>
            <rFont val="Tahoma"/>
            <family val="2"/>
          </rPr>
          <t>Author:</t>
        </r>
        <r>
          <rPr>
            <sz val="9"/>
            <color indexed="81"/>
            <rFont val="Tahoma"/>
            <family val="2"/>
          </rPr>
          <t xml:space="preserve">
Candidate Generation</t>
        </r>
      </text>
    </comment>
    <comment ref="C101" authorId="0" shapeId="0" xr:uid="{00000000-0006-0000-0100-000010000000}">
      <text>
        <r>
          <rPr>
            <b/>
            <sz val="9"/>
            <color indexed="81"/>
            <rFont val="Tahoma"/>
            <family val="2"/>
          </rPr>
          <t>Author:</t>
        </r>
        <r>
          <rPr>
            <sz val="9"/>
            <color indexed="81"/>
            <rFont val="Tahoma"/>
            <family val="2"/>
          </rPr>
          <t xml:space="preserve">
Recommendation Generation</t>
        </r>
      </text>
    </comment>
    <comment ref="C110" authorId="0" shapeId="0" xr:uid="{00000000-0006-0000-0100-000011000000}">
      <text>
        <r>
          <rPr>
            <b/>
            <sz val="9"/>
            <color indexed="81"/>
            <rFont val="Tahoma"/>
            <family val="2"/>
          </rPr>
          <t>Author:</t>
        </r>
        <r>
          <rPr>
            <sz val="9"/>
            <color indexed="81"/>
            <rFont val="Tahoma"/>
            <family val="2"/>
          </rPr>
          <t xml:space="preserve">
Recommendation Persistence</t>
        </r>
      </text>
    </comment>
    <comment ref="C116" authorId="0" shapeId="0" xr:uid="{00000000-0006-0000-0100-000012000000}">
      <text>
        <r>
          <rPr>
            <b/>
            <sz val="9"/>
            <color indexed="81"/>
            <rFont val="Tahoma"/>
            <family val="2"/>
          </rPr>
          <t>Author:</t>
        </r>
        <r>
          <rPr>
            <sz val="9"/>
            <color indexed="81"/>
            <rFont val="Tahoma"/>
            <family val="2"/>
          </rPr>
          <t xml:space="preserve">
Final Recommendation Response</t>
        </r>
      </text>
    </comment>
    <comment ref="C127" authorId="0" shapeId="0" xr:uid="{00000000-0006-0000-0100-000013000000}">
      <text>
        <r>
          <rPr>
            <b/>
            <sz val="9"/>
            <color indexed="81"/>
            <rFont val="Tahoma"/>
            <family val="2"/>
          </rPr>
          <t>Author:</t>
        </r>
        <r>
          <rPr>
            <sz val="9"/>
            <color indexed="81"/>
            <rFont val="Tahoma"/>
            <family val="2"/>
          </rPr>
          <t xml:space="preserve">
Recommendation Screen</t>
        </r>
      </text>
    </comment>
    <comment ref="C137" authorId="0" shapeId="0" xr:uid="{00000000-0006-0000-0100-000014000000}">
      <text>
        <r>
          <rPr>
            <b/>
            <sz val="9"/>
            <color indexed="81"/>
            <rFont val="Tahoma"/>
            <family val="2"/>
          </rPr>
          <t>Author:</t>
        </r>
        <r>
          <rPr>
            <sz val="9"/>
            <color indexed="81"/>
            <rFont val="Tahoma"/>
            <family val="2"/>
          </rPr>
          <t xml:space="preserve">
Recommendation Error Handling</t>
        </r>
      </text>
    </comment>
    <comment ref="C142" authorId="0" shapeId="0" xr:uid="{00000000-0006-0000-0100-000015000000}">
      <text>
        <r>
          <rPr>
            <b/>
            <sz val="9"/>
            <color indexed="81"/>
            <rFont val="Tahoma"/>
            <family val="2"/>
          </rPr>
          <t>Author:</t>
        </r>
        <r>
          <rPr>
            <sz val="9"/>
            <color indexed="81"/>
            <rFont val="Tahoma"/>
            <family val="2"/>
          </rPr>
          <t xml:space="preserve">
Testing</t>
        </r>
      </text>
    </comment>
    <comment ref="C157" authorId="0" shapeId="0" xr:uid="{00000000-0006-0000-0100-000016000000}">
      <text>
        <r>
          <rPr>
            <b/>
            <sz val="9"/>
            <color indexed="81"/>
            <rFont val="Tahoma"/>
            <family val="2"/>
          </rPr>
          <t>Author:</t>
        </r>
        <r>
          <rPr>
            <sz val="9"/>
            <color indexed="81"/>
            <rFont val="Tahoma"/>
            <family val="2"/>
          </rPr>
          <t xml:space="preserve">
Shopify Cart Integration</t>
        </r>
      </text>
    </comment>
    <comment ref="C161" authorId="0" shapeId="0" xr:uid="{00000000-0006-0000-0100-000017000000}">
      <text>
        <r>
          <rPr>
            <b/>
            <sz val="9"/>
            <color indexed="81"/>
            <rFont val="Tahoma"/>
            <family val="2"/>
          </rPr>
          <t>Author:</t>
        </r>
        <r>
          <rPr>
            <sz val="9"/>
            <color indexed="81"/>
            <rFont val="Tahoma"/>
            <family val="2"/>
          </rPr>
          <t xml:space="preserve">
Add to Cart Backend</t>
        </r>
      </text>
    </comment>
    <comment ref="C168" authorId="0" shapeId="0" xr:uid="{00000000-0006-0000-0100-000018000000}">
      <text>
        <r>
          <rPr>
            <b/>
            <sz val="9"/>
            <color indexed="81"/>
            <rFont val="Tahoma"/>
            <family val="2"/>
          </rPr>
          <t>Author:</t>
        </r>
        <r>
          <rPr>
            <sz val="9"/>
            <color indexed="81"/>
            <rFont val="Tahoma"/>
            <family val="2"/>
          </rPr>
          <t xml:space="preserve">
Add to Cart UI</t>
        </r>
      </text>
    </comment>
    <comment ref="C174" authorId="0" shapeId="0" xr:uid="{00000000-0006-0000-0100-000019000000}">
      <text>
        <r>
          <rPr>
            <b/>
            <sz val="9"/>
            <color indexed="81"/>
            <rFont val="Tahoma"/>
            <family val="2"/>
          </rPr>
          <t>Author:</t>
        </r>
        <r>
          <rPr>
            <sz val="9"/>
            <color indexed="81"/>
            <rFont val="Tahoma"/>
            <family val="2"/>
          </rPr>
          <t xml:space="preserve">
Testing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2" authorId="0" shapeId="0" xr:uid="{00000000-0006-0000-0200-000001000000}">
      <text>
        <r>
          <rPr>
            <b/>
            <sz val="9"/>
            <color indexed="81"/>
            <rFont val="Tahoma"/>
            <family val="2"/>
          </rPr>
          <t>Author:</t>
        </r>
        <r>
          <rPr>
            <sz val="9"/>
            <color indexed="81"/>
            <rFont val="Tahoma"/>
            <family val="2"/>
          </rPr>
          <t xml:space="preserve">
TBD
WiP
Done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<sst xmlns="http://schemas.openxmlformats.org/spreadsheetml/2006/main" count="323" uniqueCount="270">
  <si>
    <t>Work Item</t>
  </si>
  <si>
    <t>Sl #</t>
  </si>
  <si>
    <t>Scope</t>
  </si>
  <si>
    <t>Blocker</t>
  </si>
  <si>
    <t>Team</t>
  </si>
  <si>
    <t>Sprint</t>
  </si>
  <si>
    <t>User Story</t>
  </si>
  <si>
    <t>Story Points</t>
  </si>
  <si>
    <t>I want to</t>
  </si>
  <si>
    <t>So that</t>
  </si>
  <si>
    <t>Logged in Customer</t>
  </si>
  <si>
    <r>
      <t xml:space="preserve">upload a poor quality picture of my skin 
and press on </t>
    </r>
    <r>
      <rPr>
        <b/>
        <sz val="11"/>
        <color theme="1"/>
        <rFont val="Calibri"/>
        <family val="2"/>
        <scheme val="minor"/>
      </rPr>
      <t>submit</t>
    </r>
    <r>
      <rPr>
        <sz val="11"/>
        <color theme="1"/>
        <rFont val="Calibri"/>
        <family val="2"/>
        <scheme val="minor"/>
      </rPr>
      <t xml:space="preserve"> button</t>
    </r>
  </si>
  <si>
    <r>
      <t xml:space="preserve">I am redirected to the selfie capture page with an error message saying :
</t>
    </r>
    <r>
      <rPr>
        <sz val="11"/>
        <color rgb="FFFF0000"/>
        <rFont val="Calibri"/>
        <family val="2"/>
        <scheme val="minor"/>
      </rPr>
      <t>"Your image is not valid. Take another image with better quality"</t>
    </r>
  </si>
  <si>
    <t>Tasks</t>
  </si>
  <si>
    <t xml:space="preserve">Acceptance Criteria </t>
  </si>
  <si>
    <r>
      <t xml:space="preserve">answer the provided questionnaire and press the </t>
    </r>
    <r>
      <rPr>
        <b/>
        <sz val="11"/>
        <color theme="1"/>
        <rFont val="Calibri"/>
        <family val="2"/>
        <scheme val="minor"/>
      </rPr>
      <t>submit</t>
    </r>
    <r>
      <rPr>
        <sz val="11"/>
        <color theme="1"/>
        <rFont val="Calibri"/>
        <family val="2"/>
        <scheme val="minor"/>
      </rPr>
      <t xml:space="preserve"> button</t>
    </r>
  </si>
  <si>
    <t>Wireframe Reference</t>
  </si>
  <si>
    <t>XS</t>
  </si>
  <si>
    <t>S</t>
  </si>
  <si>
    <t>M</t>
  </si>
  <si>
    <t>L</t>
  </si>
  <si>
    <t>XL</t>
  </si>
  <si>
    <t>XXL</t>
  </si>
  <si>
    <t>XXXL</t>
  </si>
  <si>
    <t xml:space="preserve">TSHIRT SIZING </t>
  </si>
  <si>
    <r>
      <t xml:space="preserve">press the </t>
    </r>
    <r>
      <rPr>
        <b/>
        <sz val="11"/>
        <color theme="1"/>
        <rFont val="Calibri"/>
        <family val="2"/>
        <scheme val="minor"/>
      </rPr>
      <t xml:space="preserve">add to cart 
</t>
    </r>
    <r>
      <rPr>
        <sz val="11"/>
        <color theme="1"/>
        <rFont val="Calibri"/>
        <family val="2"/>
        <scheme val="minor"/>
      </rPr>
      <t xml:space="preserve">button </t>
    </r>
  </si>
  <si>
    <t xml:space="preserve">As a </t>
  </si>
  <si>
    <t>I can add the reccomended formulation to my shopping cart .</t>
  </si>
  <si>
    <t>User Story ID</t>
  </si>
  <si>
    <t xml:space="preserve">Status </t>
  </si>
  <si>
    <t>Validate image can be decoded/read</t>
  </si>
  <si>
    <t>Validate image resolution</t>
  </si>
  <si>
    <t>Handle malformed LLM response</t>
  </si>
  <si>
    <t>Handle duplicate concern IDs</t>
  </si>
  <si>
    <t>Define concern extraction rules</t>
  </si>
  <si>
    <t>Handle LLM failure</t>
  </si>
  <si>
    <t>Display user name</t>
  </si>
  <si>
    <t>Display primary skin concerns</t>
  </si>
  <si>
    <t>Display skin type</t>
  </si>
  <si>
    <t>Display sensitivity level</t>
  </si>
  <si>
    <t>Display recommended base</t>
  </si>
  <si>
    <t>Display active ingredients</t>
  </si>
  <si>
    <t>Display active percentages</t>
  </si>
  <si>
    <t>Display formulation explanation</t>
  </si>
  <si>
    <t>Verify formulation is valid</t>
  </si>
  <si>
    <t>Return cart response</t>
  </si>
  <si>
    <t>Implement Add to Cart button</t>
  </si>
  <si>
    <t>Disable button while request is processing</t>
  </si>
  <si>
    <t>Prevent duplicate submissions</t>
  </si>
  <si>
    <t>SPRINT BACKLOG</t>
  </si>
  <si>
    <r>
      <rPr>
        <sz val="11"/>
        <color rgb="FFFF0000"/>
        <rFont val="Calibri"/>
        <family val="2"/>
        <scheme val="minor"/>
      </rPr>
      <t>[give proper threshold values]</t>
    </r>
    <r>
      <rPr>
        <sz val="11"/>
        <color theme="1"/>
        <rFont val="Calibri"/>
        <family val="2"/>
        <scheme val="minor"/>
      </rPr>
      <t xml:space="preserve">
1. Blurry image should be rejected.
2. A low lighting image should be rejected.
3. A low resolution image should be rejected
4. A combination of any/all of the above three should be rejected
4. A proper image should not be rejected</t>
    </r>
  </si>
  <si>
    <r>
      <t xml:space="preserve">1.Upon </t>
    </r>
    <r>
      <rPr>
        <b/>
        <sz val="11"/>
        <color theme="1"/>
        <rFont val="Calibri"/>
        <family val="2"/>
        <scheme val="minor"/>
      </rPr>
      <t xml:space="preserve">add to cart </t>
    </r>
    <r>
      <rPr>
        <sz val="11"/>
        <color theme="1"/>
        <rFont val="Calibri"/>
        <family val="2"/>
        <scheme val="minor"/>
      </rPr>
      <t>button being clicked, the reccomended formulation should be saved for the user and added to their shopping cart, allowing them to buy later at their convenience. 
2. The saved formulation in [1] must exactly match the reccomended formulation.</t>
    </r>
  </si>
  <si>
    <t>T Shirt Sizing</t>
  </si>
  <si>
    <t>upload an acceptable quality picture of my skin 
and press on submit button</t>
  </si>
  <si>
    <t>Test User Story 1 acceptance criteria</t>
  </si>
  <si>
    <t>Test User Story 2 acceptance criteria</t>
  </si>
  <si>
    <t>Test User Story 3 acceptance criteria</t>
  </si>
  <si>
    <t>Test User Story 4 acceptance criteria</t>
  </si>
  <si>
    <t>Receive image from Shopify widget</t>
  </si>
  <si>
    <t>Validate image file type</t>
  </si>
  <si>
    <t>Calculate image sharpness</t>
  </si>
  <si>
    <t>Calculate image brightness/lighting</t>
  </si>
  <si>
    <t>Define/configure blur rejection threshold</t>
  </si>
  <si>
    <t>Define/configure low-light rejection threshold</t>
  </si>
  <si>
    <t>Define/configure minimum resolution threshold</t>
  </si>
  <si>
    <t>Combine all image-quality checks</t>
  </si>
  <si>
    <t>Reject image if any required quality check fails</t>
  </si>
  <si>
    <t>Accept image only if all required checks pass</t>
  </si>
  <si>
    <t>Return image-validation result to frontend</t>
  </si>
  <si>
    <r>
      <t xml:space="preserve">Display </t>
    </r>
    <r>
      <rPr>
        <sz val="10"/>
        <color theme="1"/>
        <rFont val="Arial Unicode MS"/>
      </rPr>
      <t>"Your image is not valid. Take another image with better quality"</t>
    </r>
  </si>
  <si>
    <t>Redirect user back to selfie capture</t>
  </si>
  <si>
    <t>Test invalid file type</t>
  </si>
  <si>
    <t>Test unreadable image</t>
  </si>
  <si>
    <t>Test low-resolution image</t>
  </si>
  <si>
    <t>Test blurry image</t>
  </si>
  <si>
    <t>Test low-light image</t>
  </si>
  <si>
    <t>Test combinations of quality failures</t>
  </si>
  <si>
    <t>Test valid image</t>
  </si>
  <si>
    <r>
      <t xml:space="preserve">Define Visual AI response JSON schema based on </t>
    </r>
    <r>
      <rPr>
        <sz val="10"/>
        <color theme="1"/>
        <rFont val="Arial Unicode MS"/>
      </rPr>
      <t>image_detection.json</t>
    </r>
  </si>
  <si>
    <r>
      <t xml:space="preserve">Define supported image-detectable concern IDs: </t>
    </r>
    <r>
      <rPr>
        <sz val="10"/>
        <color theme="1"/>
        <rFont val="Arial Unicode MS"/>
      </rPr>
      <t>SC0001–SC0019</t>
    </r>
    <r>
      <rPr>
        <sz val="11"/>
        <color theme="1"/>
        <rFont val="Calibri"/>
        <family val="2"/>
        <scheme val="minor"/>
      </rPr>
      <t xml:space="preserve">, </t>
    </r>
    <r>
      <rPr>
        <sz val="10"/>
        <color theme="1"/>
        <rFont val="Arial Unicode MS"/>
      </rPr>
      <t>SC1001–SC1009</t>
    </r>
  </si>
  <si>
    <t>Define Visual AI system prompt</t>
  </si>
  <si>
    <t>Define image-analysis instructions</t>
  </si>
  <si>
    <t>Define skin-concern detection rules</t>
  </si>
  <si>
    <t>Restrict output to supported concern IDs</t>
  </si>
  <si>
    <t>Define no-concern behaviour</t>
  </si>
  <si>
    <t>Require AI explanation for detected concerns</t>
  </si>
  <si>
    <t>Require JSON-only response</t>
  </si>
  <si>
    <t>Send accepted image to Visual AI</t>
  </si>
  <si>
    <t>Validate Visual AI response against JSON schema</t>
  </si>
  <si>
    <t>Validate returned concern IDs</t>
  </si>
  <si>
    <t>Handle unsupported concern IDs</t>
  </si>
  <si>
    <t>Handle empty/no-concern response</t>
  </si>
  <si>
    <t>Handle malformed AI response</t>
  </si>
  <si>
    <t>Handle AI/API failure</t>
  </si>
  <si>
    <t>Store detected concern IDs</t>
  </si>
  <si>
    <t>Store AI-generated explanations</t>
  </si>
  <si>
    <t>Store raw detection JSON</t>
  </si>
  <si>
    <t>Test Visual AI response validation</t>
  </si>
  <si>
    <t>Test supported concern IDs</t>
  </si>
  <si>
    <t>Test unsupported concern IDs</t>
  </si>
  <si>
    <t>Test duplicate concern handling</t>
  </si>
  <si>
    <t>Test multiple detected concerns</t>
  </si>
  <si>
    <t>Test no visible concern</t>
  </si>
  <si>
    <t>Test malformed AI response</t>
  </si>
  <si>
    <t>Test AI/API failure</t>
  </si>
  <si>
    <t>Display questionnaire to user</t>
  </si>
  <si>
    <t>Collect questionnaire answers</t>
  </si>
  <si>
    <t>Validate required questionnaire fields</t>
  </si>
  <si>
    <t>Submit questionnaire for LLM analysis</t>
  </si>
  <si>
    <t>Define questionnaire-analysis LLM prompt</t>
  </si>
  <si>
    <t>Pass questionnaire JSON to LLM</t>
  </si>
  <si>
    <t>Define skin-type extraction</t>
  </si>
  <si>
    <t>Define sensitivity extraction</t>
  </si>
  <si>
    <t>Define questionnaire-only concern handling</t>
  </si>
  <si>
    <t>Validate LLM response</t>
  </si>
  <si>
    <t>Handle LLM/API failure</t>
  </si>
  <si>
    <t>Store LLM-generated explanations</t>
  </si>
  <si>
    <t>Retrieve image-based detection results</t>
  </si>
  <si>
    <t>Retrieve questionnaire-based detection results</t>
  </si>
  <si>
    <r>
      <t xml:space="preserve">Match results using </t>
    </r>
    <r>
      <rPr>
        <sz val="10"/>
        <color theme="1"/>
        <rFont val="Arial Unicode MS"/>
      </rPr>
      <t>skin_concern_id</t>
    </r>
  </si>
  <si>
    <r>
      <t xml:space="preserve">Calculate </t>
    </r>
    <r>
      <rPr>
        <sz val="10"/>
        <color theme="1"/>
        <rFont val="Arial Unicode MS"/>
      </rPr>
      <t>image_skin_concern_exists OR questionnaire_skin_concern_exists</t>
    </r>
  </si>
  <si>
    <t>Combine image and questionnaire explanations</t>
  </si>
  <si>
    <t>Handle concerns detected only from image</t>
  </si>
  <si>
    <t>Handle concerns detected only from questionnaire</t>
  </si>
  <si>
    <t>Handle concerns detected by both</t>
  </si>
  <si>
    <t>Handle no detected concerns</t>
  </si>
  <si>
    <t>Validate final combined concern set</t>
  </si>
  <si>
    <t>Retrieve combined skin concerns</t>
  </si>
  <si>
    <r>
      <t xml:space="preserve">Retrieve </t>
    </r>
    <r>
      <rPr>
        <sz val="10"/>
        <color theme="1"/>
        <rFont val="Arial Unicode MS"/>
      </rPr>
      <t>active_benefit_score</t>
    </r>
    <r>
      <rPr>
        <sz val="11"/>
        <color theme="1"/>
        <rFont val="Calibri"/>
        <family val="2"/>
        <scheme val="minor"/>
      </rPr>
      <t xml:space="preserve"> data</t>
    </r>
  </si>
  <si>
    <t>Calculate/rank active candidates</t>
  </si>
  <si>
    <t>Retrieve applicable bases using questionnaire/session information</t>
  </si>
  <si>
    <t>Apply age suitability</t>
  </si>
  <si>
    <t>Apply skin-type suitability</t>
  </si>
  <si>
    <t>Apply climate/location considerations</t>
  </si>
  <si>
    <t>Apply acne-suitability requirements</t>
  </si>
  <si>
    <t>Apply questionnaire preferences</t>
  </si>
  <si>
    <t>Check base-active compatibility</t>
  </si>
  <si>
    <t>Produce candidate bases</t>
  </si>
  <si>
    <t>Produce candidate actives</t>
  </si>
  <si>
    <t>Pass candidate information and relevant RAG information to LLM</t>
  </si>
  <si>
    <t>Generate recommended base</t>
  </si>
  <si>
    <t>Generate recommended active ingredients</t>
  </si>
  <si>
    <t>Generate explanation for selected base</t>
  </si>
  <si>
    <t>Generate explanation for selected actives</t>
  </si>
  <si>
    <t>Ensure selected actives address detected concerns</t>
  </si>
  <si>
    <t>Ensure selected actives are compatible with selected base</t>
  </si>
  <si>
    <t>Generate formulation information</t>
  </si>
  <si>
    <t>Validate recommendation output</t>
  </si>
  <si>
    <t>Store recommendation explanations</t>
  </si>
  <si>
    <t>Store recommendation scores/ranks where applicable</t>
  </si>
  <si>
    <t>Build final response containing user full name</t>
  </si>
  <si>
    <t>Include combined primary skin concerns</t>
  </si>
  <si>
    <t>Include skin type</t>
  </si>
  <si>
    <t>Include sensitivity level</t>
  </si>
  <si>
    <t>Include recommended base</t>
  </si>
  <si>
    <t>Include recommended active ingredients</t>
  </si>
  <si>
    <t>Include active percentages/quantities</t>
  </si>
  <si>
    <t>Include formulation weight</t>
  </si>
  <si>
    <t>Include formulation explanation</t>
  </si>
  <si>
    <t>Include formulation/recommendation ID</t>
  </si>
  <si>
    <t>Return recommendation response to Shopify widget</t>
  </si>
  <si>
    <r>
      <t xml:space="preserve">Display </t>
    </r>
    <r>
      <rPr>
        <sz val="10"/>
        <color theme="1"/>
        <rFont val="Arial Unicode MS"/>
      </rPr>
      <t>"Your skin looks perfect!"</t>
    </r>
    <r>
      <rPr>
        <sz val="11"/>
        <color theme="1"/>
        <rFont val="Calibri"/>
        <family val="2"/>
        <scheme val="minor"/>
      </rPr>
      <t xml:space="preserve"> when no concern is detected</t>
    </r>
  </si>
  <si>
    <t>Display formulation information</t>
  </si>
  <si>
    <t>Handle no-compatible-recommendation case</t>
  </si>
  <si>
    <t>Handle database failure</t>
  </si>
  <si>
    <t>Handle invalid recommendation/formulation</t>
  </si>
  <si>
    <t>Return appropriate frontend error response</t>
  </si>
  <si>
    <t>Test questionnaire submission</t>
  </si>
  <si>
    <t>Test questionnaire LLM analysis</t>
  </si>
  <si>
    <t>Test concern fusion</t>
  </si>
  <si>
    <t>Test image/questionnaire OR logic</t>
  </si>
  <si>
    <t>Test candidate generation</t>
  </si>
  <si>
    <t>Test base selection</t>
  </si>
  <si>
    <t>Test active selection</t>
  </si>
  <si>
    <t>Test base-active compatibility</t>
  </si>
  <si>
    <t>Test formulation validation</t>
  </si>
  <si>
    <t>Test 100 g formulation requirement</t>
  </si>
  <si>
    <t>Test recommendation persistence</t>
  </si>
  <si>
    <t>Test final recommendation response</t>
  </si>
  <si>
    <t>Test no-concern scenario</t>
  </si>
  <si>
    <t>Test recommendation error handling</t>
  </si>
  <si>
    <t>Identify required Shopify cart/API capability</t>
  </si>
  <si>
    <t>Identify Shopify product/variant representing the formulation</t>
  </si>
  <si>
    <t>Define formulation metadata required by Shopify cart</t>
  </si>
  <si>
    <t>Create/test Shopify product or variant</t>
  </si>
  <si>
    <t>Receive formulation ID from frontend</t>
  </si>
  <si>
    <t>Retrieve saved formulation</t>
  </si>
  <si>
    <t>Verify formulation belongs to the logged-in customer/session</t>
  </si>
  <si>
    <t>Add recommended formulation/product to Shopify cart</t>
  </si>
  <si>
    <t>Attach required formulation metadata</t>
  </si>
  <si>
    <t>Call Add to Cart API</t>
  </si>
  <si>
    <t>Display successful cart-addition state</t>
  </si>
  <si>
    <t>Handle Add to Cart failure</t>
  </si>
  <si>
    <t>Test formulation ID validation</t>
  </si>
  <si>
    <t>Test customer/formulation ownership</t>
  </si>
  <si>
    <t>Test Shopify cart item creation</t>
  </si>
  <si>
    <t>Test formulation metadata</t>
  </si>
  <si>
    <t>Test successful Add to Cart</t>
  </si>
  <si>
    <t>Test Add to Cart failure</t>
  </si>
  <si>
    <t>Test duplicate submission prevention</t>
  </si>
  <si>
    <r>
      <t xml:space="preserve">Associate image with current </t>
    </r>
    <r>
      <rPr>
        <b/>
        <sz val="11"/>
        <color theme="1"/>
        <rFont val="Calibri"/>
        <family val="2"/>
        <scheme val="minor"/>
      </rPr>
      <t>customer_session</t>
    </r>
  </si>
  <si>
    <r>
      <t xml:space="preserve">Store Visual AI result in </t>
    </r>
    <r>
      <rPr>
        <b/>
        <sz val="10"/>
        <color theme="1"/>
        <rFont val="Arial Unicode MS"/>
      </rPr>
      <t>session_skin_concern_detection</t>
    </r>
  </si>
  <si>
    <r>
      <t xml:space="preserve">Store questionnaire answers in </t>
    </r>
    <r>
      <rPr>
        <b/>
        <sz val="10"/>
        <color theme="1"/>
        <rFont val="Arial Unicode MS"/>
      </rPr>
      <t>questionnaire_response</t>
    </r>
  </si>
  <si>
    <r>
      <t>Associate questionnaire response with current</t>
    </r>
    <r>
      <rPr>
        <b/>
        <sz val="11"/>
        <color theme="1"/>
        <rFont val="Calibri"/>
        <family val="2"/>
        <scheme val="minor"/>
      </rPr>
      <t xml:space="preserve"> </t>
    </r>
    <r>
      <rPr>
        <b/>
        <sz val="10"/>
        <color theme="1"/>
        <rFont val="Arial Unicode MS"/>
      </rPr>
      <t>customer_session</t>
    </r>
  </si>
  <si>
    <r>
      <t xml:space="preserve">Store questionnaire detection result in </t>
    </r>
    <r>
      <rPr>
        <b/>
        <sz val="10"/>
        <color theme="1"/>
        <rFont val="Arial Unicode MS"/>
      </rPr>
      <t>session_skin_concern_detection</t>
    </r>
  </si>
  <si>
    <r>
      <t xml:space="preserve">Store combined result in </t>
    </r>
    <r>
      <rPr>
        <b/>
        <sz val="10"/>
        <color theme="1"/>
        <rFont val="Arial Unicode MS"/>
      </rPr>
      <t>session_skin_concern</t>
    </r>
  </si>
  <si>
    <r>
      <t xml:space="preserve">Retrieve relevant </t>
    </r>
    <r>
      <rPr>
        <b/>
        <sz val="10"/>
        <color theme="1"/>
        <rFont val="Arial Unicode MS"/>
      </rPr>
      <t>concern_benefit</t>
    </r>
    <r>
      <rPr>
        <sz val="11"/>
        <color theme="1"/>
        <rFont val="Calibri"/>
        <family val="2"/>
        <scheme val="minor"/>
      </rPr>
      <t xml:space="preserve"> mappings</t>
    </r>
  </si>
  <si>
    <r>
      <t xml:space="preserve">Create </t>
    </r>
    <r>
      <rPr>
        <b/>
        <sz val="10"/>
        <color theme="1"/>
        <rFont val="Arial Unicode MS"/>
      </rPr>
      <t>recommendation_run</t>
    </r>
  </si>
  <si>
    <r>
      <t xml:space="preserve">Store selected base in </t>
    </r>
    <r>
      <rPr>
        <b/>
        <sz val="10"/>
        <color theme="1"/>
        <rFont val="Arial Unicode MS"/>
      </rPr>
      <t>recommendation_base</t>
    </r>
  </si>
  <si>
    <r>
      <t xml:space="preserve">Store selected actives in </t>
    </r>
    <r>
      <rPr>
        <b/>
        <sz val="10"/>
        <color theme="1"/>
        <rFont val="Arial Unicode MS"/>
      </rPr>
      <t>recommendation_active</t>
    </r>
  </si>
  <si>
    <r>
      <t xml:space="preserve">Store final formatted response in </t>
    </r>
    <r>
      <rPr>
        <b/>
        <sz val="10"/>
        <color theme="1"/>
        <rFont val="Arial Unicode MS"/>
      </rPr>
      <t>recommendation_output</t>
    </r>
  </si>
  <si>
    <r>
      <t xml:space="preserve">Store accepted image in </t>
    </r>
    <r>
      <rPr>
        <b/>
        <sz val="11"/>
        <color theme="1"/>
        <rFont val="Calibri"/>
        <family val="2"/>
        <scheme val="minor"/>
      </rPr>
      <t>skin_image</t>
    </r>
  </si>
  <si>
    <t>everyone</t>
  </si>
  <si>
    <t>Redirect user to questionnaire after image passes validation checks.</t>
  </si>
  <si>
    <t>Days</t>
  </si>
  <si>
    <t>Date</t>
  </si>
  <si>
    <t>Actual Story Points Left</t>
  </si>
  <si>
    <t>Excepted Story Points Left</t>
  </si>
  <si>
    <t>Story Points Done</t>
  </si>
  <si>
    <t>2</t>
  </si>
  <si>
    <t>3</t>
  </si>
  <si>
    <t>4</t>
  </si>
  <si>
    <t>5</t>
  </si>
  <si>
    <t>6</t>
  </si>
  <si>
    <t>7</t>
  </si>
  <si>
    <t>8</t>
  </si>
  <si>
    <t>9</t>
  </si>
  <si>
    <t>1</t>
  </si>
  <si>
    <t xml:space="preserve">I can have my skin image analysed for visible skin concerns , be redirected to a questionnaire to give a complete profile of my skin, and finally view my reccomendations page with the following fields:
1. Hello "user_full_name" !
2. Skin analysis results: Primary Concerns:
those detected through the image.
</t>
  </si>
  <si>
    <r>
      <t xml:space="preserve">1. The user must only be allowed to proceed if the uploaded image passes all image-quality checks for blurriness, lighting, and resolution.
2. Once the image passes the quality checks, the image must be submitted to the Visual AI component for skin-concern analysis.
3. After successful Visual AI analysis, the user must be redirected to the skin questionnaire.
4. Detected skin concerns should be from the series: 
SC0001-SC0019 &amp; SC1001-SC1009
5. If no skin concern is detected(perfectly fit skin) then Skin analysis results should show the following message:
</t>
    </r>
    <r>
      <rPr>
        <sz val="11"/>
        <color rgb="FFFF0000"/>
        <rFont val="Calibri"/>
        <family val="2"/>
        <scheme val="minor"/>
      </rPr>
      <t xml:space="preserve">"Your skin looks perfect!"
</t>
    </r>
    <r>
      <rPr>
        <sz val="11"/>
        <color theme="1"/>
        <rFont val="Calibri"/>
        <family val="2"/>
        <scheme val="minor"/>
      </rPr>
      <t>6. If the image contains one or multiple particular skin concerns then, all of those should be shown in the Skin analysis results: Primary Concerns.
7. No other skins concerns should be shown in the Skin analysis results: Primary Concerns other than the ones really existing in the images and questionnaire.</t>
    </r>
  </si>
  <si>
    <t>Return image-validation result to frontend
Display "Your image is not valid. Take another image with better quality"
Redirect user back to selfie capture</t>
  </si>
  <si>
    <t>Test invalid file type
Test unreadable image
Test low-resolution image
Test blurry image
Test low-light image
Test combinations of quality failures
Test valid image
Test User Story 1 acceptance criteria</t>
  </si>
  <si>
    <t>Test Visual AI response validation
		Test supported concern IDs
		Test unsupported concern IDs
		Test duplicate concern handling
		Test multiple detected concerns
		Test no visible concern
		Test malformed AI response
		Test AI/API failure
		Test asynchronous image analysis flow
		Test image-based recommendation response
		Test User Story 2 acceptance criteria</t>
  </si>
  <si>
    <t>Total Sprint Story Points</t>
  </si>
  <si>
    <t>Display questionnaire to user
Collect questionnaire answers
Validate required questionnaire fields
Store questionnaire answers in questionnaire_response
Associate questionnaire response with current customer_session
Submit questionnaire for LLM analysis</t>
  </si>
  <si>
    <t>Retrieve image-based detection results
Retrieve questionnaire-based detection results
Match results using skin_concern_id
Calculate image_skin_concern_exists OR questionnaire_skin_concern_exists
Combine image and questionnaire explanations
Store combined result in session_skin_concern
Handle concerns detected only from image
Handle concerns detected only from questionnaire
Handle concerns detected by both
Handle no detected concerns
Validate final combined concern set</t>
  </si>
  <si>
    <t>Create recommendation_run
Store selected base in recommendation_base
Store selected actives in recommendation_active
Store recommendation explanations
Store recommendation scores/ranks where applicable
Store final formatted response in recommendation_output</t>
  </si>
  <si>
    <t>Build final response containing user full name
Include combined primary skin concerns
Include skin type
Include sensitivity level
Include recommended base
Include recommended active ingredients
Include active percentages/quantities
Include formulation weight
Include formulation explanation
Include formulation/recommendation ID
Return recommendation response to Shopify widget</t>
  </si>
  <si>
    <t>Display user name
Display primary skin concerns
Display "Your skin looks perfect!" when no concern is detected
Display skin type
Display sensitivity level
Display recommended base
Display active ingredients
Display active percentages
Display formulation explanation
Display formulation information</t>
  </si>
  <si>
    <t>Handle no-compatible-recommendation case
Handle LLM failure
Handle database failure
Handle invalid recommendation/formulation
Return appropriate frontend error response</t>
  </si>
  <si>
    <t>Test questionnaire submission
Test questionnaire LLM analysis
Test concern fusion
Test image/questionnaire OR logic
Test candidate generation
Test base selection
Test active selection
Test base-active compatibility
Test formulation validation
Test 100 g formulation requirement
Test recommendation persistence
Test final recommendation response
Test no-concern scenario
Test recommendation error handling
Test User Story 3 acceptance criteria</t>
  </si>
  <si>
    <t>Identify required Shopify cart/API capability
Identify Shopify product/variant representing the formulation
Define formulation metadata required by Shopify cart
Create/test Shopify product or variant</t>
  </si>
  <si>
    <t>Receive formulation ID from frontend
Retrieve saved formulation
Verify formulation belongs to the logged-in customer/session
Verify formulation is valid
Add recommended formulation/product to Shopify cart
Attach required formulation metadata
Return cart response</t>
  </si>
  <si>
    <t>Implement Add to Cart button
Disable button while request is processing
Call Add to Cart API
Display successful cart-addition state
Handle Add to Cart failure
Prevent duplicate submissions</t>
  </si>
  <si>
    <t>Test formulation ID validation
Test customer/formulation ownership
Test Shopify cart item creation
Test formulation metadata
Test successful Add to Cart
Test Add to Cart failure
Test duplicate submission prevention
Test User Story 4 acceptance criteria</t>
  </si>
  <si>
    <t>Vidit</t>
  </si>
  <si>
    <t>Azad</t>
  </si>
  <si>
    <t>Everyone</t>
  </si>
  <si>
    <t>Sayan</t>
  </si>
  <si>
    <t>Azad, Sayan</t>
  </si>
  <si>
    <t>Priority</t>
  </si>
  <si>
    <t>Receive image from Shopify widget and pass it to the image-validation service
Validate uploaded image filetype before image processing 
Validate uploaded image can be decoded/read
Validate image resolution against the configured minimum resolution.
Calculate image sharpness score.
Calculate image brightness/lighting score.
Define/configure blur rejection threshold
Define/configure low-light rejection threshold
Define/configure minimum resolution threshold</t>
  </si>
  <si>
    <t>Combine all image-quality checks into one image-validation API call - POST /image-validation
Reject image when any required quality check fails. 
Accept image only when all required quality checks pass.</t>
  </si>
  <si>
    <r>
      <t xml:space="preserve">Store accepted image in </t>
    </r>
    <r>
      <rPr>
        <b/>
        <sz val="11"/>
        <color theme="1"/>
        <rFont val="Calibri"/>
        <family val="2"/>
        <scheme val="minor"/>
      </rPr>
      <t xml:space="preserve">skin_image </t>
    </r>
    <r>
      <rPr>
        <sz val="11"/>
        <color theme="1"/>
        <rFont val="Calibri"/>
        <family val="2"/>
        <scheme val="minor"/>
      </rPr>
      <t>database table.</t>
    </r>
    <r>
      <rPr>
        <b/>
        <sz val="11"/>
        <color theme="1"/>
        <rFont val="Calibri"/>
        <family val="2"/>
        <scheme val="minor"/>
      </rPr>
      <t xml:space="preserve">
</t>
    </r>
    <r>
      <rPr>
        <sz val="11"/>
        <color theme="1"/>
        <rFont val="Calibri"/>
        <family val="2"/>
        <scheme val="minor"/>
      </rPr>
      <t xml:space="preserve">Associate the stored image with the current </t>
    </r>
    <r>
      <rPr>
        <b/>
        <sz val="11"/>
        <color theme="1"/>
        <rFont val="Calibri"/>
        <family val="2"/>
        <scheme val="minor"/>
      </rPr>
      <t>customer_session</t>
    </r>
    <r>
      <rPr>
        <sz val="11"/>
        <color theme="1"/>
        <rFont val="Calibri"/>
        <family val="2"/>
        <scheme val="minor"/>
      </rPr>
      <t xml:space="preserve"> database record using the session identifier.</t>
    </r>
    <r>
      <rPr>
        <b/>
        <sz val="11"/>
        <color theme="1"/>
        <rFont val="Calibri"/>
        <family val="2"/>
        <scheme val="minor"/>
      </rPr>
      <t xml:space="preserve">
</t>
    </r>
    <r>
      <rPr>
        <sz val="11"/>
        <color theme="1"/>
        <rFont val="Calibri"/>
        <family val="2"/>
        <scheme val="minor"/>
      </rPr>
      <t xml:space="preserve">Trigger the asynchronous Visual AI image analysis process for the accepted image
Redirect user to static questionnaire page immediately after image validation succeeds. </t>
    </r>
  </si>
  <si>
    <r>
      <t xml:space="preserve">Define Visual AI response JSON schema using </t>
    </r>
    <r>
      <rPr>
        <b/>
        <sz val="11"/>
        <color theme="1"/>
        <rFont val="Calibri"/>
        <family val="2"/>
        <scheme val="minor"/>
      </rPr>
      <t xml:space="preserve">image_detection.json </t>
    </r>
    <r>
      <rPr>
        <sz val="11"/>
        <color theme="1"/>
        <rFont val="Calibri"/>
        <family val="2"/>
        <scheme val="minor"/>
      </rPr>
      <t xml:space="preserve">as the schema definition.
Define the </t>
    </r>
    <r>
      <rPr>
        <b/>
        <sz val="11"/>
        <color theme="1"/>
        <rFont val="Calibri"/>
        <family val="2"/>
        <scheme val="minor"/>
      </rPr>
      <t xml:space="preserve">skin_concern_id </t>
    </r>
    <r>
      <rPr>
        <sz val="11"/>
        <color theme="1"/>
        <rFont val="Calibri"/>
        <family val="2"/>
        <scheme val="minor"/>
      </rPr>
      <t xml:space="preserve">field in the Visual AI response.
Restrict </t>
    </r>
    <r>
      <rPr>
        <b/>
        <sz val="11"/>
        <color theme="1"/>
        <rFont val="Calibri"/>
        <family val="2"/>
        <scheme val="minor"/>
      </rPr>
      <t>skin_concern_id</t>
    </r>
    <r>
      <rPr>
        <sz val="11"/>
        <color theme="1"/>
        <rFont val="Calibri"/>
        <family val="2"/>
        <scheme val="minor"/>
      </rPr>
      <t xml:space="preserve"> values to </t>
    </r>
    <r>
      <rPr>
        <b/>
        <sz val="11"/>
        <color theme="1"/>
        <rFont val="Calibri"/>
        <family val="2"/>
        <scheme val="minor"/>
      </rPr>
      <t>SC0001–SC0019, SC1001–SC1009.</t>
    </r>
  </si>
  <si>
    <t>Define Visual AI system prompt
Define image-analysis instructions
Define skin-concern detection rules
Restrict output to supported concern IDs
Define no-concern behaviour
Require AI explanation for every detected concerns
Require JSON-only response</t>
  </si>
  <si>
    <r>
      <t xml:space="preserve">Send accepted image to Visual AI API for image analysis
Validate Visual AI response against Visual AI response JSON schema
Validate every returned </t>
    </r>
    <r>
      <rPr>
        <b/>
        <sz val="11"/>
        <color theme="1"/>
        <rFont val="Calibri"/>
        <family val="2"/>
        <scheme val="minor"/>
      </rPr>
      <t>skin_concern_id</t>
    </r>
    <r>
      <rPr>
        <sz val="11"/>
        <color theme="1"/>
        <rFont val="Calibri"/>
        <family val="2"/>
        <scheme val="minor"/>
      </rPr>
      <t xml:space="preserve"> against the supported concern-ID list. 
Handle duplicate concern IDs before storing the results
Handle unsupported concern IDs 
Handle empty/no-concern response
Handle malformed AI response
Handle AI/API failure</t>
    </r>
  </si>
  <si>
    <r>
      <t xml:space="preserve">Store the validated Visual AI result in </t>
    </r>
    <r>
      <rPr>
        <b/>
        <sz val="11"/>
        <color theme="1"/>
        <rFont val="Calibri"/>
        <family val="2"/>
        <scheme val="minor"/>
      </rPr>
      <t>session_skin_concern_detection</t>
    </r>
    <r>
      <rPr>
        <sz val="11"/>
        <color theme="1"/>
        <rFont val="Calibri"/>
        <family val="2"/>
        <scheme val="minor"/>
      </rPr>
      <t xml:space="preserve"> database table
Store the detected </t>
    </r>
    <r>
      <rPr>
        <b/>
        <sz val="11"/>
        <color theme="1"/>
        <rFont val="Calibri"/>
        <family val="2"/>
        <scheme val="minor"/>
      </rPr>
      <t>skin_concern_id</t>
    </r>
    <r>
      <rPr>
        <sz val="11"/>
        <color theme="1"/>
        <rFont val="Calibri"/>
        <family val="2"/>
        <scheme val="minor"/>
      </rPr>
      <t xml:space="preserve"> value in the concern-ID column of </t>
    </r>
    <r>
      <rPr>
        <b/>
        <sz val="11"/>
        <color theme="1"/>
        <rFont val="Calibri"/>
        <family val="2"/>
        <scheme val="minor"/>
      </rPr>
      <t>session_skin_concern_detection</t>
    </r>
    <r>
      <rPr>
        <sz val="11"/>
        <color theme="1"/>
        <rFont val="Calibri"/>
        <family val="2"/>
        <scheme val="minor"/>
      </rPr>
      <t xml:space="preserve">.
Store AI-generated explanations in the explanation column against the corresponding </t>
    </r>
    <r>
      <rPr>
        <b/>
        <sz val="11"/>
        <color theme="1"/>
        <rFont val="Calibri"/>
        <family val="2"/>
        <scheme val="minor"/>
      </rPr>
      <t>skin_concern_id</t>
    </r>
    <r>
      <rPr>
        <sz val="11"/>
        <color theme="1"/>
        <rFont val="Calibri"/>
        <family val="2"/>
        <scheme val="minor"/>
      </rPr>
      <t xml:space="preserve">.
Store raw Visual AI response JSON in the raw-detection-JSON column
Associate each detection record with the current </t>
    </r>
    <r>
      <rPr>
        <b/>
        <sz val="11"/>
        <color theme="1"/>
        <rFont val="Calibri"/>
        <family val="2"/>
        <scheme val="minor"/>
      </rPr>
      <t>customer_session</t>
    </r>
    <r>
      <rPr>
        <sz val="11"/>
        <color theme="1"/>
        <rFont val="Calibri"/>
        <family val="2"/>
        <scheme val="minor"/>
      </rPr>
      <t>.</t>
    </r>
  </si>
  <si>
    <r>
      <t xml:space="preserve">Create the image analysis reccomendation response JSON.
Populate </t>
    </r>
    <r>
      <rPr>
        <b/>
        <sz val="11"/>
        <color theme="1"/>
        <rFont val="Calibri"/>
        <family val="2"/>
        <scheme val="minor"/>
      </rPr>
      <t xml:space="preserve">user_full_name </t>
    </r>
    <r>
      <rPr>
        <sz val="11"/>
        <color theme="1"/>
        <rFont val="Calibri"/>
        <family val="2"/>
        <scheme val="minor"/>
      </rPr>
      <t xml:space="preserve"> from the logged-in customer's user record.
Populate </t>
    </r>
    <r>
      <rPr>
        <b/>
        <sz val="11"/>
        <color theme="1"/>
        <rFont val="Calibri"/>
        <family val="2"/>
        <scheme val="minor"/>
      </rPr>
      <t xml:space="preserve">Primary Concerns </t>
    </r>
    <r>
      <rPr>
        <sz val="11"/>
        <color theme="1"/>
        <rFont val="Calibri"/>
        <family val="2"/>
        <scheme val="minor"/>
      </rPr>
      <t xml:space="preserve">using only validated </t>
    </r>
    <r>
      <rPr>
        <b/>
        <sz val="11"/>
        <color theme="1"/>
        <rFont val="Calibri"/>
        <family val="2"/>
        <scheme val="minor"/>
      </rPr>
      <t>skin_concern_id</t>
    </r>
    <r>
      <rPr>
        <sz val="11"/>
        <color theme="1"/>
        <rFont val="Calibri"/>
        <family val="2"/>
        <scheme val="minor"/>
      </rPr>
      <t xml:space="preserve"> values stored from the Visual AI analysis.
Return "Your skin looks perfect!" when the validated image concern list is empty. 
Return the reccomendation response JSON to the Shopify widget frontend.
Display </t>
    </r>
    <r>
      <rPr>
        <b/>
        <sz val="11"/>
        <color theme="1"/>
        <rFont val="Calibri"/>
        <family val="2"/>
        <scheme val="minor"/>
      </rPr>
      <t>user_full_name</t>
    </r>
    <r>
      <rPr>
        <sz val="11"/>
        <color theme="1"/>
        <rFont val="Calibri"/>
        <family val="2"/>
        <scheme val="minor"/>
      </rPr>
      <t xml:space="preserve"> on the reccomendation page.
Display image-detected </t>
    </r>
    <r>
      <rPr>
        <b/>
        <sz val="11"/>
        <color theme="1"/>
        <rFont val="Calibri"/>
        <family val="2"/>
        <scheme val="minor"/>
      </rPr>
      <t xml:space="preserve">Primary Concerns </t>
    </r>
    <r>
      <rPr>
        <sz val="11"/>
        <color theme="1"/>
        <rFont val="Calibri"/>
        <family val="2"/>
        <scheme val="minor"/>
      </rPr>
      <t xml:space="preserve">on the reccomendation page. </t>
    </r>
  </si>
  <si>
    <t>Generate 10–20 GenAI test images covering different skin tones, ages, and visible skin concerns
	Test redness detection across different skin tones
	Test redness detection on a person with black skin
	Test visible skin concerns on a person below 50
	Test multiple visible skin concerns in a single image
	Test an image containing no visible skin concern
	Compare Visual AI returned skin_concern_id values against expected test results
	Verify unsupported concern IDs are not persisted in the session_skin_concern_detection database table</t>
  </si>
  <si>
    <t>Done</t>
  </si>
  <si>
    <t>WiP</t>
  </si>
  <si>
    <t>TBD</t>
  </si>
  <si>
    <t>I can view my reccomendation page with the following fields:
1. Hello "user_full_name"! 
2. Skin analysis results : Primary Concerns :  those detected through the combination of skin concerns from both image and questionnaire.
3.Skin analysis results: Skin Type: detected through questionnaire answers.
5. Reccomended for you: Base :
selected through questionnaire answers.
6. Reccomended for you : Active Ingredients: those detected through selfie and questionnaire skin concerns.
7. Reccomended for you: Why this formula: explained by LLM for selected actives detected through selfie and questionnaire skin concerns</t>
  </si>
  <si>
    <r>
      <t xml:space="preserve">1. Detected skin concerns should be from the series:
SC0001-SC0019 , SC1001-SC1009 &amp;
SC2001-SC2004.
2. If no skin concern is detected(perfectly fit skin) then Skin analysis results should show the following message:
</t>
    </r>
    <r>
      <rPr>
        <sz val="11"/>
        <color rgb="FFFF0000"/>
        <rFont val="Calibri"/>
        <family val="2"/>
        <scheme val="minor"/>
      </rPr>
      <t xml:space="preserve">"No skin concerns detected."
</t>
    </r>
    <r>
      <rPr>
        <sz val="11"/>
        <color theme="1"/>
        <rFont val="Calibri"/>
        <family val="2"/>
        <scheme val="minor"/>
      </rPr>
      <t xml:space="preserve">3.If the image &amp; questionnaire contains one or multiple particular skin concerns then, all of those should be shown in the Skin analysis results: Primary Concerns.
4.No other skins concerns should be shown in the Skin analysis results: Primary Concerns other than the ones really existing in the images and questionnaire.
5. The total formulation must always weigh 100g total.
6. The percentage of actives in formulation must be listed.
7. The formulation explanation must correctly reflect the reason for choosing the actives and bases as per the LLM.
8. The actives and base comprising the reccomended formulation must be compatible with each other.
</t>
    </r>
  </si>
  <si>
    <t>Validate LLM response
Handle malformed LLM response
Handle LLM/API failure
Store questionnaire detection result in session_skin_concern_detection
Store LLM-generated explanations
Store raw detection JSON</t>
  </si>
  <si>
    <t>Define questionnaire-analysis LLM prompt
Pass questionnaire JSON to LLM
Define concern extraction rules
Define skin-type extraction
Define sensitivity extraction
Define questionnaire-only concern handling</t>
  </si>
  <si>
    <t>Retrieve combined skin concerns
Retrieve relevant concern_benefit mappings
Retrieve active_benefit_score data
Retrieve applicable bases using questionnaire/session information
Check base-active compatibility
Produce candidate bases
Produce candidate actives</t>
  </si>
  <si>
    <t>Validate LLM recommendation output</t>
  </si>
  <si>
    <t>Pass candidate information , along with questionnaire answers to LLM
Generate recommended base
Generate recommended active ingredients
Generate explanation for selected base
Generate explanation for selected actives
Ensure selected actives address detected concerns
Ensure selected actives are compatible with selected base
Generate formulation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</si>
</sst>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1"/>
      <color rgb="FFFF0000"/>
      <name val="Calibri"/>
      <family val="2"/>
      <scheme val="minor"/>
    </font>
    <font>
      <sz val="10"/>
      <color theme="1"/>
      <name val="Arial Unicode MS"/>
    </font>
    <font>
      <sz val="9"/>
      <color indexed="81"/>
      <name val="Tahoma"/>
      <charset val="1"/>
    </font>
    <font>
      <b/>
      <sz val="9"/>
      <color indexed="81"/>
      <name val="Tahoma"/>
      <charset val="1"/>
    </font>
    <font>
      <sz val="9"/>
      <color indexed="81"/>
      <name val="Tahoma"/>
      <family val="2"/>
    </font>
    <font>
      <b/>
      <sz val="9"/>
      <color indexed="81"/>
      <name val="Tahoma"/>
      <family val="2"/>
    </font>
    <font>
      <b/>
      <sz val="10"/>
      <color theme="1"/>
      <name val="Arial Unicode MS"/>
    </font>
    <font>
      <sz val="8"/>
      <color theme="1"/>
      <name val="Arial"/>
      <family val="2"/>
    </font>
    <font>
      <sz val="8"/>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56">
    <xf numFmtId="0" fontId="0" fillId="0" borderId="0" xfId="0"/>
    <xf numFmtId="0" fontId="0" fillId="0" borderId="0" xfId="0" applyAlignment="1">
      <alignment vertical="top" wrapText="1"/>
    </xf>
    <xf numFmtId="0" fontId="0" fillId="0" borderId="0" xfId="0" applyAlignment="1">
      <alignment wrapText="1"/>
    </xf>
    <xf numFmtId="0" fontId="0" fillId="0" borderId="0" xfId="0" applyAlignment="1">
      <alignment horizontal="center" vertical="center"/>
    </xf>
    <xf numFmtId="0" fontId="1" fillId="0" borderId="0" xfId="0" applyFont="1"/>
    <xf numFmtId="14" fontId="0" fillId="0" borderId="0" xfId="0" applyNumberFormat="1"/>
    <xf numFmtId="0" fontId="0" fillId="0" borderId="0" xfId="0" applyAlignment="1">
      <alignment horizontal="center" vertical="center" wrapText="1"/>
    </xf>
    <xf numFmtId="0" fontId="0" fillId="0" borderId="0" xfId="0" applyAlignment="1">
      <alignment vertical="center"/>
    </xf>
    <xf numFmtId="0" fontId="1" fillId="2" borderId="0" xfId="0" applyFont="1" applyFill="1"/>
    <xf numFmtId="0" fontId="0" fillId="0" borderId="0" xfId="0" applyAlignment="1">
      <alignment horizontal="left" vertical="top" wrapText="1"/>
    </xf>
    <xf numFmtId="0" fontId="1" fillId="3" borderId="0" xfId="0" applyFont="1" applyFill="1"/>
    <xf numFmtId="0" fontId="0" fillId="0" borderId="0" xfId="0" applyAlignment="1">
      <alignment horizontal="left" vertical="top"/>
    </xf>
    <xf numFmtId="0" fontId="0" fillId="0" borderId="1" xfId="0" applyBorder="1"/>
    <xf numFmtId="0" fontId="0" fillId="3" borderId="1" xfId="0" applyFill="1" applyBorder="1"/>
    <xf numFmtId="0" fontId="0" fillId="4" borderId="1" xfId="0" applyFill="1" applyBorder="1"/>
    <xf numFmtId="0" fontId="0" fillId="0" borderId="0" xfId="0" applyAlignment="1">
      <alignment vertical="top"/>
    </xf>
    <xf numFmtId="0" fontId="0" fillId="0" borderId="0" xfId="0" applyAlignment="1">
      <alignment horizontal="right" vertical="top"/>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horizontal="right" vertical="center" wrapText="1"/>
    </xf>
    <xf numFmtId="0" fontId="1" fillId="0" borderId="0" xfId="0" applyFont="1" applyAlignment="1">
      <alignment horizontal="right" vertical="center" wrapText="1"/>
    </xf>
    <xf numFmtId="49" fontId="0" fillId="0" borderId="0" xfId="0" applyNumberFormat="1"/>
    <xf numFmtId="49"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49" fontId="0" fillId="0" borderId="1" xfId="0" applyNumberFormat="1" applyBorder="1"/>
    <xf numFmtId="14" fontId="0" fillId="0" borderId="1" xfId="0" applyNumberFormat="1" applyBorder="1"/>
    <xf numFmtId="0" fontId="9" fillId="0" borderId="1" xfId="0" applyFont="1" applyBorder="1" applyAlignment="1">
      <alignment horizontal="center" vertical="center"/>
    </xf>
    <xf numFmtId="0" fontId="0" fillId="0" borderId="1" xfId="0" applyBorder="1" applyAlignment="1">
      <alignment horizontal="center" vertical="center"/>
    </xf>
    <xf numFmtId="0" fontId="0" fillId="6" borderId="3" xfId="0" applyFill="1" applyBorder="1"/>
    <xf numFmtId="0" fontId="0" fillId="6" borderId="3" xfId="0" applyFill="1" applyBorder="1" applyAlignment="1">
      <alignment wrapText="1"/>
    </xf>
    <xf numFmtId="0" fontId="0" fillId="6" borderId="4" xfId="0" applyFill="1" applyBorder="1"/>
    <xf numFmtId="0" fontId="1" fillId="3" borderId="0" xfId="0" applyFont="1" applyFill="1" applyAlignment="1">
      <alignment vertical="top"/>
    </xf>
    <xf numFmtId="0" fontId="0" fillId="6" borderId="2" xfId="0" applyFill="1" applyBorder="1" applyAlignment="1">
      <alignment vertical="top"/>
    </xf>
    <xf numFmtId="0" fontId="0" fillId="6" borderId="3" xfId="0" applyFill="1" applyBorder="1" applyAlignment="1">
      <alignment vertical="top"/>
    </xf>
    <xf numFmtId="2" fontId="0" fillId="0" borderId="0" xfId="0" applyNumberFormat="1" applyAlignment="1">
      <alignment vertical="top"/>
    </xf>
    <xf numFmtId="0" fontId="0" fillId="7" borderId="0" xfId="0" applyFill="1" applyAlignment="1">
      <alignment vertical="top"/>
    </xf>
    <xf numFmtId="0" fontId="0" fillId="7" borderId="0" xfId="0" applyFill="1" applyAlignment="1">
      <alignment wrapText="1"/>
    </xf>
    <xf numFmtId="0" fontId="0" fillId="7" borderId="0" xfId="0" applyFill="1"/>
    <xf numFmtId="0" fontId="1" fillId="0" borderId="2" xfId="0" applyFont="1" applyBorder="1"/>
    <xf numFmtId="0" fontId="1" fillId="7" borderId="4" xfId="0" applyFont="1" applyFill="1" applyBorder="1"/>
    <xf numFmtId="0" fontId="0" fillId="8" borderId="0" xfId="0" applyFill="1" applyAlignment="1">
      <alignment vertical="top"/>
    </xf>
    <xf numFmtId="0" fontId="0" fillId="8" borderId="0" xfId="0" applyFill="1" applyAlignment="1">
      <alignment wrapText="1"/>
    </xf>
    <xf numFmtId="0" fontId="0" fillId="8" borderId="0" xfId="0" applyFill="1"/>
    <xf numFmtId="0" fontId="0" fillId="0" borderId="0" xfId="0" applyAlignment="1">
      <alignment vertical="top"/>
    </xf>
    <xf numFmtId="0" fontId="0" fillId="0" borderId="5" xfId="0" applyBorder="1" applyAlignment="1">
      <alignment vertical="top"/>
    </xf>
    <xf numFmtId="0" fontId="1" fillId="4" borderId="0" xfId="0" applyFont="1" applyFill="1" applyAlignment="1">
      <alignment horizontal="center"/>
    </xf>
    <xf numFmtId="0" fontId="1" fillId="3" borderId="0" xfId="0" applyFont="1" applyFill="1" applyAlignment="1">
      <alignment horizontal="center"/>
    </xf>
    <xf numFmtId="0" fontId="0" fillId="0" borderId="0" xfId="0"/>
    <xf numFmtId="0" fontId="0" fillId="0" borderId="0" xfId="0" applyAlignment="1">
      <alignment horizontal="left"/>
    </xf>
    <xf numFmtId="0" fontId="1" fillId="0" borderId="0" xfId="0" applyFont="1" applyAlignment="1">
      <alignment horizontal="right" vertical="top" wrapText="1"/>
    </xf>
    <xf numFmtId="0" fontId="1" fillId="0" borderId="0" xfId="0" applyFont="1" applyAlignment="1">
      <alignment vertical="top" wrapText="1"/>
    </xf>
    <xf numFmtId="0" fontId="0" fillId="0" borderId="0" xfId="0" applyAlignment="1">
      <alignment vertical="top" wrapText="1"/>
    </xf>
    <xf numFmtId="0" fontId="1" fillId="0" borderId="0" xfId="0" applyFont="1" applyAlignment="1">
      <alignment vertical="center" wrapText="1"/>
    </xf>
    <xf numFmtId="2" fontId="1" fillId="0" borderId="0" xfId="0" applyNumberFormat="1" applyFont="1" applyAlignment="1">
      <alignment vertical="top" wrapText="1"/>
    </xf>
    <xf numFmtId="0" fontId="0" fillId="5" borderId="1" xfId="0" applyFill="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'Burndown Chart'!$C$1</c:f>
              <c:strCache>
                <c:ptCount val="1"/>
                <c:pt idx="0">
                  <c:v>Actual Story Points Left</c:v>
                </c:pt>
              </c:strCache>
            </c:strRef>
          </c:tx>
          <c:spPr>
            <a:ln w="28575" cap="rnd">
              <a:solidFill>
                <a:schemeClr val="accent1"/>
              </a:solidFill>
              <a:round/>
            </a:ln>
            <a:effectLst/>
          </c:spPr>
          <c:marker>
            <c:symbol val="none"/>
          </c:marker>
          <c:cat>
            <c:numRef>
              <c:f>'Burndown Chart'!$B$2:$B$11</c:f>
              <c:numCache>
                <c:formatCode>m/d/yyyy</c:formatCode>
                <c:ptCount val="10"/>
                <c:pt idx="0">
                  <c:v>46265</c:v>
                </c:pt>
                <c:pt idx="1">
                  <c:v>46266</c:v>
                </c:pt>
                <c:pt idx="2">
                  <c:v>46267</c:v>
                </c:pt>
                <c:pt idx="3">
                  <c:v>46268</c:v>
                </c:pt>
                <c:pt idx="4">
                  <c:v>46269</c:v>
                </c:pt>
                <c:pt idx="5">
                  <c:v>46272</c:v>
                </c:pt>
                <c:pt idx="6">
                  <c:v>46273</c:v>
                </c:pt>
                <c:pt idx="7">
                  <c:v>46274</c:v>
                </c:pt>
                <c:pt idx="8">
                  <c:v>46275</c:v>
                </c:pt>
              </c:numCache>
            </c:numRef>
          </c:cat>
          <c:val>
            <c:numRef>
              <c:f>'Burndown Chart'!$C$2:$C$11</c:f>
              <c:numCache>
                <c:formatCode>General</c:formatCode>
                <c:ptCount val="10"/>
                <c:pt idx="0">
                  <c:v>45</c:v>
                </c:pt>
                <c:pt idx="1">
                  <c:v>44</c:v>
                </c:pt>
                <c:pt idx="2">
                  <c:v>39</c:v>
                </c:pt>
                <c:pt idx="3">
                  <c:v>39</c:v>
                </c:pt>
                <c:pt idx="4">
                  <c:v>36</c:v>
                </c:pt>
                <c:pt idx="5">
                  <c:v>31</c:v>
                </c:pt>
                <c:pt idx="6">
                  <c:v>31</c:v>
                </c:pt>
                <c:pt idx="7">
                  <c:v>30</c:v>
                </c:pt>
                <c:pt idx="8">
                  <c:v>30</c:v>
                </c:pt>
              </c:numCache>
            </c:numRef>
          </c:val>
          <c:smooth val="0"/>
          <c:extLst>
            <c:ext xmlns:c16="http://schemas.microsoft.com/office/drawing/2014/chart" uri="{C3380CC4-5D6E-409C-BE32-E72D297353CC}">
              <c16:uniqueId val="{00000000-007D-47A5-8A1B-3F2D0F713771}"/>
            </c:ext>
          </c:extLst>
        </c:ser>
        <c:ser>
          <c:idx val="1"/>
          <c:order val="1"/>
          <c:tx>
            <c:strRef>
              <c:f>'Burndown Chart'!$D$1</c:f>
              <c:strCache>
                <c:ptCount val="1"/>
                <c:pt idx="0">
                  <c:v>Excepted Story Points Left</c:v>
                </c:pt>
              </c:strCache>
            </c:strRef>
          </c:tx>
          <c:spPr>
            <a:ln w="28575" cap="rnd">
              <a:solidFill>
                <a:schemeClr val="accent2"/>
              </a:solidFill>
              <a:round/>
            </a:ln>
            <a:effectLst/>
          </c:spPr>
          <c:marker>
            <c:symbol val="none"/>
          </c:marker>
          <c:cat>
            <c:numRef>
              <c:f>'Burndown Chart'!$B$2:$B$11</c:f>
              <c:numCache>
                <c:formatCode>m/d/yyyy</c:formatCode>
                <c:ptCount val="10"/>
                <c:pt idx="0">
                  <c:v>46265</c:v>
                </c:pt>
                <c:pt idx="1">
                  <c:v>46266</c:v>
                </c:pt>
                <c:pt idx="2">
                  <c:v>46267</c:v>
                </c:pt>
                <c:pt idx="3">
                  <c:v>46268</c:v>
                </c:pt>
                <c:pt idx="4">
                  <c:v>46269</c:v>
                </c:pt>
                <c:pt idx="5">
                  <c:v>46272</c:v>
                </c:pt>
                <c:pt idx="6">
                  <c:v>46273</c:v>
                </c:pt>
                <c:pt idx="7">
                  <c:v>46274</c:v>
                </c:pt>
                <c:pt idx="8">
                  <c:v>46275</c:v>
                </c:pt>
              </c:numCache>
            </c:numRef>
          </c:cat>
          <c:val>
            <c:numRef>
              <c:f>'Burndown Chart'!$D$2:$D$11</c:f>
              <c:numCache>
                <c:formatCode>General</c:formatCode>
                <c:ptCount val="10"/>
                <c:pt idx="0">
                  <c:v>45</c:v>
                </c:pt>
                <c:pt idx="1">
                  <c:v>39.375</c:v>
                </c:pt>
                <c:pt idx="2">
                  <c:v>33.75</c:v>
                </c:pt>
                <c:pt idx="3">
                  <c:v>28.125</c:v>
                </c:pt>
                <c:pt idx="4">
                  <c:v>22.5</c:v>
                </c:pt>
                <c:pt idx="5">
                  <c:v>16.875</c:v>
                </c:pt>
                <c:pt idx="6">
                  <c:v>11.25</c:v>
                </c:pt>
                <c:pt idx="7">
                  <c:v>5.625</c:v>
                </c:pt>
                <c:pt idx="8">
                  <c:v>0</c:v>
                </c:pt>
              </c:numCache>
            </c:numRef>
          </c:val>
          <c:smooth val="0"/>
          <c:extLst>
            <c:ext xmlns:c16="http://schemas.microsoft.com/office/drawing/2014/chart" uri="{C3380CC4-5D6E-409C-BE32-E72D297353CC}">
              <c16:uniqueId val="{00000001-007D-47A5-8A1B-3F2D0F713771}"/>
            </c:ext>
          </c:extLst>
        </c:ser>
        <c:ser>
          <c:idx val="2"/>
          <c:order val="2"/>
          <c:tx>
            <c:strRef>
              <c:f>'Burndown Chart'!$E$1</c:f>
              <c:strCache>
                <c:ptCount val="1"/>
                <c:pt idx="0">
                  <c:v>Story Points Done</c:v>
                </c:pt>
              </c:strCache>
            </c:strRef>
          </c:tx>
          <c:spPr>
            <a:ln w="28575" cap="rnd">
              <a:solidFill>
                <a:schemeClr val="accent3"/>
              </a:solidFill>
              <a:round/>
            </a:ln>
            <a:effectLst/>
          </c:spPr>
          <c:marker>
            <c:symbol val="none"/>
          </c:marker>
          <c:cat>
            <c:numRef>
              <c:f>'Burndown Chart'!$B$2:$B$11</c:f>
              <c:numCache>
                <c:formatCode>m/d/yyyy</c:formatCode>
                <c:ptCount val="10"/>
                <c:pt idx="0">
                  <c:v>46265</c:v>
                </c:pt>
                <c:pt idx="1">
                  <c:v>46266</c:v>
                </c:pt>
                <c:pt idx="2">
                  <c:v>46267</c:v>
                </c:pt>
                <c:pt idx="3">
                  <c:v>46268</c:v>
                </c:pt>
                <c:pt idx="4">
                  <c:v>46269</c:v>
                </c:pt>
                <c:pt idx="5">
                  <c:v>46272</c:v>
                </c:pt>
                <c:pt idx="6">
                  <c:v>46273</c:v>
                </c:pt>
                <c:pt idx="7">
                  <c:v>46274</c:v>
                </c:pt>
                <c:pt idx="8">
                  <c:v>46275</c:v>
                </c:pt>
              </c:numCache>
            </c:numRef>
          </c:cat>
          <c:val>
            <c:numRef>
              <c:f>'Burndown Chart'!$E$2:$E$11</c:f>
              <c:numCache>
                <c:formatCode>General</c:formatCode>
                <c:ptCount val="10"/>
                <c:pt idx="0">
                  <c:v>1</c:v>
                </c:pt>
                <c:pt idx="1">
                  <c:v>0</c:v>
                </c:pt>
                <c:pt idx="2">
                  <c:v>5</c:v>
                </c:pt>
                <c:pt idx="3">
                  <c:v>0</c:v>
                </c:pt>
                <c:pt idx="4">
                  <c:v>3</c:v>
                </c:pt>
                <c:pt idx="5">
                  <c:v>5</c:v>
                </c:pt>
                <c:pt idx="6">
                  <c:v>0</c:v>
                </c:pt>
                <c:pt idx="7">
                  <c:v>1</c:v>
                </c:pt>
                <c:pt idx="8">
                  <c:v>0</c:v>
                </c:pt>
              </c:numCache>
            </c:numRef>
          </c:val>
          <c:smooth val="0"/>
          <c:extLst>
            <c:ext xmlns:c16="http://schemas.microsoft.com/office/drawing/2014/chart" uri="{C3380CC4-5D6E-409C-BE32-E72D297353CC}">
              <c16:uniqueId val="{00000002-007D-47A5-8A1B-3F2D0F713771}"/>
            </c:ext>
          </c:extLst>
        </c:ser>
        <c:dLbls>
          <c:showLegendKey val="0"/>
          <c:showVal val="0"/>
          <c:showCatName val="0"/>
          <c:showSerName val="0"/>
          <c:showPercent val="0"/>
          <c:showBubbleSize val="0"/>
        </c:dLbls>
        <c:smooth val="0"/>
        <c:axId val="1354025151"/>
        <c:axId val="930835984"/>
      </c:lineChart>
      <c:catAx>
        <c:axId val="135402515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835984"/>
        <c:crosses val="autoZero"/>
        <c:auto val="0"/>
        <c:lblAlgn val="ctr"/>
        <c:lblOffset val="100"/>
        <c:noMultiLvlLbl val="0"/>
      </c:catAx>
      <c:valAx>
        <c:axId val="93083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025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594360</xdr:colOff>
      <xdr:row>0</xdr:row>
      <xdr:rowOff>716280</xdr:rowOff>
    </xdr:from>
    <xdr:to>
      <xdr:col>17</xdr:col>
      <xdr:colOff>7620</xdr:colOff>
      <xdr:row>23</xdr:row>
      <xdr:rowOff>15240</xdr:rowOff>
    </xdr:to>
    <xdr:graphicFrame macro="">
      <xdr:nvGraphicFramePr>
        <xdr:cNvPr id="2" name="Chart 1">
          <a:extLst>
            <a:ext uri="{FF2B5EF4-FFF2-40B4-BE49-F238E27FC236}">
              <a16:creationId xmlns:a16="http://schemas.microsoft.com/office/drawing/2014/main" id="{114FF3BD-8CD1-F1A6-71A7-8072407EE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9-10T10:13:35.35" personId="{00000000-0000-0000-0000-000000000000}" id="{148E080D-CE22-4CE0-8311-B67C30FEF121}">
    <text>Get client verification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zoomScale="99" zoomScaleNormal="115" workbookViewId="0">
      <pane ySplit="2" topLeftCell="A5" activePane="bottomLeft" state="frozen"/>
      <selection pane="bottomLeft" activeCell="E12" sqref="E12"/>
    </sheetView>
  </sheetViews>
  <sheetFormatPr defaultRowHeight="14.4"/>
  <cols>
    <col min="1" max="1" width="14.6640625" bestFit="1" customWidth="1"/>
    <col min="2" max="2" width="17.33203125" bestFit="1" customWidth="1"/>
    <col min="3" max="3" width="20" customWidth="1"/>
    <col min="4" max="4" width="35.6640625" customWidth="1"/>
    <col min="5" max="5" width="51.109375" customWidth="1"/>
    <col min="6" max="6" width="19" bestFit="1" customWidth="1"/>
  </cols>
  <sheetData>
    <row r="1" spans="1:6">
      <c r="A1" s="10"/>
      <c r="B1" s="47" t="s">
        <v>6</v>
      </c>
      <c r="C1" s="47"/>
      <c r="D1" s="47"/>
      <c r="E1" s="10"/>
      <c r="F1" s="10"/>
    </row>
    <row r="2" spans="1:6">
      <c r="A2" s="8" t="s">
        <v>1</v>
      </c>
      <c r="B2" s="8" t="s">
        <v>26</v>
      </c>
      <c r="C2" s="8" t="s">
        <v>8</v>
      </c>
      <c r="D2" s="8" t="s">
        <v>9</v>
      </c>
      <c r="E2" s="8" t="s">
        <v>14</v>
      </c>
      <c r="F2" s="8" t="s">
        <v>16</v>
      </c>
    </row>
    <row r="3" spans="1:6" ht="100.8">
      <c r="A3" s="16">
        <v>1</v>
      </c>
      <c r="B3" s="11" t="s">
        <v>10</v>
      </c>
      <c r="C3" s="9" t="s">
        <v>11</v>
      </c>
      <c r="D3" s="9" t="s">
        <v>12</v>
      </c>
      <c r="E3" s="9" t="s">
        <v>50</v>
      </c>
    </row>
    <row r="4" spans="1:6" ht="279" customHeight="1">
      <c r="A4" s="15">
        <v>2</v>
      </c>
      <c r="B4" s="11" t="s">
        <v>10</v>
      </c>
      <c r="C4" s="9" t="s">
        <v>53</v>
      </c>
      <c r="D4" s="1" t="s">
        <v>228</v>
      </c>
      <c r="E4" s="9" t="s">
        <v>229</v>
      </c>
    </row>
    <row r="5" spans="1:6" s="2" customFormat="1" ht="294" customHeight="1">
      <c r="A5" s="1">
        <v>3</v>
      </c>
      <c r="B5" s="17" t="s">
        <v>10</v>
      </c>
      <c r="C5" s="9" t="s">
        <v>15</v>
      </c>
      <c r="D5" s="1" t="s">
        <v>263</v>
      </c>
      <c r="E5" s="9" t="s">
        <v>264</v>
      </c>
    </row>
    <row r="6" spans="1:6" ht="86.4">
      <c r="A6" s="15">
        <v>4</v>
      </c>
      <c r="B6" s="18" t="s">
        <v>10</v>
      </c>
      <c r="C6" s="9" t="s">
        <v>25</v>
      </c>
      <c r="D6" s="1" t="s">
        <v>27</v>
      </c>
      <c r="E6" s="9" t="s">
        <v>51</v>
      </c>
    </row>
    <row r="7" spans="1:6">
      <c r="A7" s="7"/>
      <c r="B7" s="3"/>
      <c r="C7" s="3"/>
      <c r="D7" s="1"/>
    </row>
    <row r="8" spans="1:6">
      <c r="A8" s="7"/>
      <c r="B8" s="3"/>
      <c r="C8" s="1"/>
    </row>
    <row r="9" spans="1:6">
      <c r="A9" s="3"/>
      <c r="B9" s="3"/>
      <c r="C9" s="3"/>
      <c r="D9" s="6"/>
    </row>
    <row r="10" spans="1:6">
      <c r="A10" s="3"/>
      <c r="B10" s="3"/>
      <c r="C10" s="3"/>
      <c r="D10" s="6"/>
    </row>
  </sheetData>
  <mergeCells count="1">
    <mergeCell ref="B1:D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1"/>
  <sheetViews>
    <sheetView topLeftCell="A82" zoomScale="95" workbookViewId="0">
      <selection activeCell="C59" sqref="C59:C64"/>
    </sheetView>
  </sheetViews>
  <sheetFormatPr defaultRowHeight="14.4"/>
  <cols>
    <col min="2" max="2" width="11.88671875" bestFit="1" customWidth="1"/>
    <col min="3" max="3" width="14.5546875" bestFit="1" customWidth="1"/>
    <col min="4" max="4" width="74.6640625" bestFit="1" customWidth="1"/>
    <col min="5" max="5" width="11.5546875" bestFit="1" customWidth="1"/>
    <col min="6" max="6" width="11.109375" bestFit="1" customWidth="1"/>
    <col min="7" max="7" width="8.6640625" bestFit="1" customWidth="1"/>
    <col min="9" max="9" width="19.33203125" bestFit="1" customWidth="1"/>
  </cols>
  <sheetData>
    <row r="1" spans="1:10">
      <c r="A1" s="46" t="s">
        <v>49</v>
      </c>
      <c r="B1" s="46"/>
      <c r="C1" s="46"/>
      <c r="D1" s="46"/>
      <c r="E1" s="46"/>
      <c r="F1" s="46"/>
      <c r="G1" s="46"/>
      <c r="H1" s="46"/>
      <c r="I1" s="46"/>
      <c r="J1" s="46"/>
    </row>
    <row r="2" spans="1:10" s="4" customFormat="1">
      <c r="A2" s="10" t="s">
        <v>5</v>
      </c>
      <c r="B2" s="10" t="s">
        <v>28</v>
      </c>
      <c r="C2" s="10" t="s">
        <v>0</v>
      </c>
      <c r="D2" s="10" t="s">
        <v>13</v>
      </c>
      <c r="E2" s="10" t="s">
        <v>52</v>
      </c>
      <c r="F2" s="10" t="s">
        <v>7</v>
      </c>
      <c r="G2" s="10" t="s">
        <v>4</v>
      </c>
      <c r="H2" s="10" t="s">
        <v>29</v>
      </c>
      <c r="I2" s="10" t="s">
        <v>3</v>
      </c>
      <c r="J2" s="10" t="s">
        <v>2</v>
      </c>
    </row>
    <row r="3" spans="1:10">
      <c r="A3" s="50">
        <v>1</v>
      </c>
      <c r="B3" s="51">
        <v>1</v>
      </c>
      <c r="C3" s="51">
        <v>1.1000000000000001</v>
      </c>
      <c r="D3" s="7" t="s">
        <v>58</v>
      </c>
      <c r="E3" s="48" t="s">
        <v>19</v>
      </c>
      <c r="F3" s="48" cm="1">
        <f t="array" ref="F3">_xlfn.SWITCH(E3,"XS",1,"S",2,"M",3,"L",5,"XL",8,"XXL",13,"XXXL",21,"")</f>
        <v>3</v>
      </c>
    </row>
    <row r="4" spans="1:10">
      <c r="A4" s="50"/>
      <c r="B4" s="51"/>
      <c r="C4" s="51"/>
      <c r="D4" s="7" t="s">
        <v>59</v>
      </c>
      <c r="E4" s="48"/>
      <c r="F4" s="48"/>
    </row>
    <row r="5" spans="1:10">
      <c r="A5" s="50"/>
      <c r="B5" s="51"/>
      <c r="C5" s="51"/>
      <c r="D5" s="7" t="s">
        <v>30</v>
      </c>
      <c r="E5" s="48"/>
      <c r="F5" s="48"/>
    </row>
    <row r="6" spans="1:10">
      <c r="A6" s="50"/>
      <c r="B6" s="51"/>
      <c r="C6" s="51"/>
      <c r="D6" s="7" t="s">
        <v>31</v>
      </c>
      <c r="E6" s="48"/>
      <c r="F6" s="48"/>
    </row>
    <row r="7" spans="1:10">
      <c r="A7" s="50"/>
      <c r="B7" s="51"/>
      <c r="C7" s="51"/>
      <c r="D7" s="7" t="s">
        <v>60</v>
      </c>
      <c r="E7" s="48"/>
      <c r="F7" s="48"/>
    </row>
    <row r="8" spans="1:10">
      <c r="A8" s="50"/>
      <c r="B8" s="51"/>
      <c r="C8" s="51"/>
      <c r="D8" s="7" t="s">
        <v>61</v>
      </c>
      <c r="E8" s="48"/>
      <c r="F8" s="48"/>
    </row>
    <row r="9" spans="1:10">
      <c r="A9" s="50"/>
      <c r="B9" s="51"/>
      <c r="C9" s="51"/>
      <c r="D9" s="7" t="s">
        <v>62</v>
      </c>
      <c r="E9" s="48"/>
      <c r="F9" s="48"/>
    </row>
    <row r="10" spans="1:10">
      <c r="A10" s="50"/>
      <c r="B10" s="51"/>
      <c r="C10" s="51"/>
      <c r="D10" s="7" t="s">
        <v>63</v>
      </c>
      <c r="E10" s="48"/>
      <c r="F10" s="48"/>
    </row>
    <row r="11" spans="1:10">
      <c r="A11" s="50"/>
      <c r="B11" s="51"/>
      <c r="C11" s="51"/>
      <c r="D11" s="7" t="s">
        <v>64</v>
      </c>
      <c r="E11" s="48"/>
      <c r="F11" s="48"/>
    </row>
    <row r="12" spans="1:10">
      <c r="A12" s="50"/>
      <c r="B12" s="51"/>
      <c r="C12" s="51">
        <v>1.2</v>
      </c>
      <c r="D12" s="7" t="s">
        <v>65</v>
      </c>
      <c r="E12" s="48" t="s">
        <v>19</v>
      </c>
      <c r="F12" s="48" cm="1">
        <f t="array" ref="F12">_xlfn.SWITCH(E3,"XS",1,"S",2,"M",3,"L",5,"XL",8,"XXL",13,"XXXL",21,"")</f>
        <v>3</v>
      </c>
    </row>
    <row r="13" spans="1:10">
      <c r="A13" s="50"/>
      <c r="B13" s="51"/>
      <c r="C13" s="51"/>
      <c r="D13" s="7" t="s">
        <v>66</v>
      </c>
      <c r="E13" s="48"/>
      <c r="F13" s="48"/>
    </row>
    <row r="14" spans="1:10">
      <c r="A14" s="50"/>
      <c r="B14" s="51"/>
      <c r="C14" s="51"/>
      <c r="D14" s="7" t="s">
        <v>67</v>
      </c>
      <c r="E14" s="48"/>
      <c r="F14" s="48"/>
    </row>
    <row r="15" spans="1:10">
      <c r="A15" s="50"/>
      <c r="B15" s="51"/>
      <c r="C15" s="51">
        <v>1.3</v>
      </c>
      <c r="D15" s="7" t="s">
        <v>68</v>
      </c>
      <c r="E15" s="48" t="s">
        <v>17</v>
      </c>
      <c r="F15" s="48"/>
    </row>
    <row r="16" spans="1:10">
      <c r="A16" s="50"/>
      <c r="B16" s="51"/>
      <c r="C16" s="51"/>
      <c r="D16" s="7" t="s">
        <v>69</v>
      </c>
      <c r="E16" s="48"/>
      <c r="F16" s="48"/>
    </row>
    <row r="17" spans="1:7">
      <c r="A17" s="50"/>
      <c r="B17" s="51"/>
      <c r="C17" s="51"/>
      <c r="D17" s="7" t="s">
        <v>70</v>
      </c>
      <c r="E17" s="48"/>
      <c r="F17" s="48"/>
    </row>
    <row r="18" spans="1:7">
      <c r="A18" s="50"/>
      <c r="B18" s="51"/>
      <c r="C18" s="51">
        <v>1.4</v>
      </c>
      <c r="D18" s="7" t="s">
        <v>71</v>
      </c>
      <c r="E18" s="48" t="s">
        <v>20</v>
      </c>
      <c r="F18" s="48"/>
    </row>
    <row r="19" spans="1:7">
      <c r="A19" s="50"/>
      <c r="B19" s="51"/>
      <c r="C19" s="51"/>
      <c r="D19" s="7" t="s">
        <v>72</v>
      </c>
      <c r="E19" s="48"/>
      <c r="F19" s="48"/>
    </row>
    <row r="20" spans="1:7">
      <c r="A20" s="50"/>
      <c r="B20" s="51"/>
      <c r="C20" s="51"/>
      <c r="D20" s="7" t="s">
        <v>73</v>
      </c>
      <c r="E20" s="48"/>
      <c r="F20" s="48"/>
    </row>
    <row r="21" spans="1:7">
      <c r="A21" s="50"/>
      <c r="B21" s="51"/>
      <c r="C21" s="51"/>
      <c r="D21" s="7" t="s">
        <v>74</v>
      </c>
      <c r="E21" s="48"/>
      <c r="F21" s="48"/>
    </row>
    <row r="22" spans="1:7">
      <c r="A22" s="50"/>
      <c r="B22" s="51"/>
      <c r="C22" s="51"/>
      <c r="D22" s="7" t="s">
        <v>75</v>
      </c>
      <c r="E22" s="48"/>
      <c r="F22" s="48"/>
    </row>
    <row r="23" spans="1:7">
      <c r="A23" s="50"/>
      <c r="B23" s="51"/>
      <c r="C23" s="51"/>
      <c r="D23" s="7" t="s">
        <v>76</v>
      </c>
      <c r="E23" s="48"/>
      <c r="F23" s="48"/>
    </row>
    <row r="24" spans="1:7">
      <c r="A24" s="50"/>
      <c r="B24" s="51"/>
      <c r="C24" s="51"/>
      <c r="D24" s="7" t="s">
        <v>77</v>
      </c>
      <c r="E24" s="48"/>
      <c r="F24" s="48"/>
    </row>
    <row r="25" spans="1:7">
      <c r="A25" s="50"/>
      <c r="B25" s="51"/>
      <c r="C25" s="51"/>
      <c r="D25" s="7" t="s">
        <v>54</v>
      </c>
      <c r="E25" s="48"/>
      <c r="F25" s="48"/>
    </row>
    <row r="26" spans="1:7">
      <c r="A26" s="50"/>
      <c r="B26" s="52">
        <v>2</v>
      </c>
      <c r="C26" s="51">
        <v>2.1</v>
      </c>
      <c r="D26" s="7" t="s">
        <v>213</v>
      </c>
      <c r="E26" s="49" t="s">
        <v>17</v>
      </c>
      <c r="F26" s="48"/>
    </row>
    <row r="27" spans="1:7">
      <c r="A27" s="50"/>
      <c r="B27" s="52"/>
      <c r="C27" s="51"/>
      <c r="D27" s="7" t="s">
        <v>211</v>
      </c>
      <c r="E27" s="49"/>
      <c r="F27" s="48"/>
    </row>
    <row r="28" spans="1:7">
      <c r="A28" s="50"/>
      <c r="B28" s="52"/>
      <c r="C28" s="51"/>
      <c r="D28" s="7" t="s">
        <v>200</v>
      </c>
      <c r="E28" s="49"/>
      <c r="F28" s="48"/>
    </row>
    <row r="29" spans="1:7">
      <c r="A29" s="50"/>
      <c r="B29" s="52"/>
      <c r="C29" s="53">
        <v>2.2000000000000002</v>
      </c>
      <c r="D29" s="7" t="s">
        <v>78</v>
      </c>
      <c r="E29" s="48" t="s">
        <v>17</v>
      </c>
      <c r="F29" s="48"/>
    </row>
    <row r="30" spans="1:7">
      <c r="A30" s="50"/>
      <c r="B30" s="52"/>
      <c r="C30" s="53"/>
      <c r="D30" s="7" t="s">
        <v>79</v>
      </c>
      <c r="E30" s="48"/>
      <c r="F30" s="48"/>
    </row>
    <row r="31" spans="1:7">
      <c r="A31" s="50"/>
      <c r="B31" s="52"/>
      <c r="C31" s="51">
        <v>2.2999999999999998</v>
      </c>
      <c r="D31" s="7" t="s">
        <v>80</v>
      </c>
      <c r="E31" s="48" t="s">
        <v>21</v>
      </c>
      <c r="F31" s="48"/>
      <c r="G31" s="48" t="s">
        <v>212</v>
      </c>
    </row>
    <row r="32" spans="1:7">
      <c r="A32" s="50"/>
      <c r="B32" s="52"/>
      <c r="C32" s="51"/>
      <c r="D32" s="7" t="s">
        <v>81</v>
      </c>
      <c r="E32" s="48"/>
      <c r="F32" s="48"/>
      <c r="G32" s="48"/>
    </row>
    <row r="33" spans="1:7">
      <c r="A33" s="50"/>
      <c r="B33" s="52"/>
      <c r="C33" s="51"/>
      <c r="D33" s="7" t="s">
        <v>82</v>
      </c>
      <c r="E33" s="48"/>
      <c r="F33" s="48"/>
      <c r="G33" s="48"/>
    </row>
    <row r="34" spans="1:7">
      <c r="A34" s="50"/>
      <c r="B34" s="52"/>
      <c r="C34" s="51"/>
      <c r="D34" s="7" t="s">
        <v>83</v>
      </c>
      <c r="E34" s="48"/>
      <c r="F34" s="48"/>
      <c r="G34" s="48"/>
    </row>
    <row r="35" spans="1:7">
      <c r="A35" s="50"/>
      <c r="B35" s="52"/>
      <c r="C35" s="51"/>
      <c r="D35" s="7" t="s">
        <v>84</v>
      </c>
      <c r="E35" s="48"/>
      <c r="F35" s="48"/>
      <c r="G35" s="48"/>
    </row>
    <row r="36" spans="1:7">
      <c r="A36" s="50"/>
      <c r="B36" s="52"/>
      <c r="C36" s="51"/>
      <c r="D36" s="7" t="s">
        <v>85</v>
      </c>
      <c r="E36" s="48"/>
      <c r="F36" s="48"/>
      <c r="G36" s="48"/>
    </row>
    <row r="37" spans="1:7">
      <c r="A37" s="50"/>
      <c r="B37" s="52"/>
      <c r="C37" s="51"/>
      <c r="D37" s="7" t="s">
        <v>86</v>
      </c>
      <c r="E37" s="48"/>
      <c r="F37" s="48"/>
      <c r="G37" s="48"/>
    </row>
    <row r="38" spans="1:7">
      <c r="A38" s="50"/>
      <c r="B38" s="52"/>
      <c r="C38" s="51">
        <v>2.4</v>
      </c>
      <c r="D38" s="7" t="s">
        <v>87</v>
      </c>
      <c r="E38" s="48" t="s">
        <v>20</v>
      </c>
      <c r="F38" s="48"/>
    </row>
    <row r="39" spans="1:7">
      <c r="A39" s="50"/>
      <c r="B39" s="52"/>
      <c r="C39" s="51"/>
      <c r="D39" s="7" t="s">
        <v>88</v>
      </c>
      <c r="E39" s="48"/>
      <c r="F39" s="48"/>
    </row>
    <row r="40" spans="1:7">
      <c r="A40" s="50"/>
      <c r="B40" s="52"/>
      <c r="C40" s="51"/>
      <c r="D40" s="7" t="s">
        <v>89</v>
      </c>
      <c r="E40" s="48"/>
      <c r="F40" s="48"/>
    </row>
    <row r="41" spans="1:7">
      <c r="A41" s="50"/>
      <c r="B41" s="52"/>
      <c r="C41" s="51"/>
      <c r="D41" s="7" t="s">
        <v>33</v>
      </c>
      <c r="E41" s="48"/>
      <c r="F41" s="48"/>
    </row>
    <row r="42" spans="1:7">
      <c r="A42" s="50"/>
      <c r="B42" s="52"/>
      <c r="C42" s="51"/>
      <c r="D42" s="7" t="s">
        <v>90</v>
      </c>
      <c r="E42" s="48"/>
      <c r="F42" s="48"/>
    </row>
    <row r="43" spans="1:7">
      <c r="A43" s="50"/>
      <c r="B43" s="52"/>
      <c r="C43" s="51"/>
      <c r="D43" s="7" t="s">
        <v>91</v>
      </c>
      <c r="E43" s="48"/>
      <c r="F43" s="48"/>
    </row>
    <row r="44" spans="1:7">
      <c r="A44" s="50"/>
      <c r="B44" s="52"/>
      <c r="C44" s="51"/>
      <c r="D44" s="7" t="s">
        <v>92</v>
      </c>
      <c r="E44" s="48"/>
      <c r="F44" s="48"/>
    </row>
    <row r="45" spans="1:7">
      <c r="A45" s="50"/>
      <c r="B45" s="52"/>
      <c r="C45" s="51"/>
      <c r="D45" s="7" t="s">
        <v>93</v>
      </c>
      <c r="E45" s="48"/>
      <c r="F45" s="48"/>
    </row>
    <row r="46" spans="1:7">
      <c r="A46" s="50"/>
      <c r="B46" s="52"/>
      <c r="C46" s="51">
        <v>2.5</v>
      </c>
      <c r="D46" s="7" t="s">
        <v>201</v>
      </c>
      <c r="E46" s="49" t="s">
        <v>18</v>
      </c>
      <c r="F46" s="48"/>
    </row>
    <row r="47" spans="1:7">
      <c r="A47" s="50"/>
      <c r="B47" s="52"/>
      <c r="C47" s="51"/>
      <c r="D47" s="7" t="s">
        <v>94</v>
      </c>
      <c r="E47" s="49"/>
      <c r="F47" s="48"/>
    </row>
    <row r="48" spans="1:7">
      <c r="A48" s="50"/>
      <c r="B48" s="52"/>
      <c r="C48" s="51"/>
      <c r="D48" s="7" t="s">
        <v>95</v>
      </c>
      <c r="E48" s="49"/>
      <c r="F48" s="48"/>
    </row>
    <row r="49" spans="1:6">
      <c r="A49" s="50"/>
      <c r="B49" s="52"/>
      <c r="C49" s="51"/>
      <c r="D49" s="7" t="s">
        <v>96</v>
      </c>
      <c r="E49" s="49"/>
      <c r="F49" s="48"/>
    </row>
    <row r="50" spans="1:6">
      <c r="A50" s="50"/>
      <c r="B50" s="52"/>
      <c r="C50" s="51">
        <v>2.7</v>
      </c>
      <c r="D50" s="7" t="s">
        <v>97</v>
      </c>
      <c r="E50" s="48" t="s">
        <v>20</v>
      </c>
      <c r="F50" s="48"/>
    </row>
    <row r="51" spans="1:6">
      <c r="A51" s="50"/>
      <c r="B51" s="52"/>
      <c r="C51" s="51"/>
      <c r="D51" s="7" t="s">
        <v>98</v>
      </c>
      <c r="E51" s="48"/>
      <c r="F51" s="48"/>
    </row>
    <row r="52" spans="1:6">
      <c r="A52" s="50"/>
      <c r="B52" s="52"/>
      <c r="C52" s="51"/>
      <c r="D52" s="7" t="s">
        <v>99</v>
      </c>
      <c r="E52" s="48"/>
      <c r="F52" s="48"/>
    </row>
    <row r="53" spans="1:6">
      <c r="A53" s="50"/>
      <c r="B53" s="52"/>
      <c r="C53" s="51"/>
      <c r="D53" s="7" t="s">
        <v>100</v>
      </c>
      <c r="E53" s="48"/>
      <c r="F53" s="48"/>
    </row>
    <row r="54" spans="1:6">
      <c r="A54" s="50"/>
      <c r="B54" s="52"/>
      <c r="C54" s="51"/>
      <c r="D54" s="7" t="s">
        <v>101</v>
      </c>
      <c r="E54" s="48"/>
      <c r="F54" s="48"/>
    </row>
    <row r="55" spans="1:6">
      <c r="A55" s="50"/>
      <c r="B55" s="52"/>
      <c r="C55" s="51"/>
      <c r="D55" s="7" t="s">
        <v>102</v>
      </c>
      <c r="E55" s="48"/>
      <c r="F55" s="48"/>
    </row>
    <row r="56" spans="1:6">
      <c r="A56" s="50"/>
      <c r="B56" s="52"/>
      <c r="C56" s="51"/>
      <c r="D56" s="7" t="s">
        <v>103</v>
      </c>
      <c r="E56" s="48"/>
      <c r="F56" s="48"/>
    </row>
    <row r="57" spans="1:6">
      <c r="A57" s="50"/>
      <c r="B57" s="52"/>
      <c r="C57" s="51"/>
      <c r="D57" s="7" t="s">
        <v>104</v>
      </c>
      <c r="E57" s="48"/>
      <c r="F57" s="48"/>
    </row>
    <row r="58" spans="1:6">
      <c r="A58" s="50"/>
      <c r="B58" s="52"/>
      <c r="C58" s="51"/>
      <c r="D58" s="7" t="s">
        <v>55</v>
      </c>
      <c r="E58" s="48"/>
      <c r="F58" s="48"/>
    </row>
    <row r="59" spans="1:6">
      <c r="A59" s="20"/>
      <c r="B59" s="51">
        <v>3</v>
      </c>
      <c r="C59" s="51">
        <v>3.1</v>
      </c>
      <c r="D59" s="7" t="s">
        <v>105</v>
      </c>
    </row>
    <row r="60" spans="1:6">
      <c r="A60" s="19"/>
      <c r="B60" s="51"/>
      <c r="C60" s="51"/>
      <c r="D60" s="7" t="s">
        <v>106</v>
      </c>
    </row>
    <row r="61" spans="1:6">
      <c r="A61" s="19"/>
      <c r="B61" s="51"/>
      <c r="C61" s="51"/>
      <c r="D61" s="7" t="s">
        <v>107</v>
      </c>
    </row>
    <row r="62" spans="1:6">
      <c r="A62" s="19"/>
      <c r="B62" s="51"/>
      <c r="C62" s="51"/>
      <c r="D62" s="7" t="s">
        <v>202</v>
      </c>
    </row>
    <row r="63" spans="1:6">
      <c r="A63" s="19"/>
      <c r="B63" s="51"/>
      <c r="C63" s="51"/>
      <c r="D63" s="7" t="s">
        <v>203</v>
      </c>
    </row>
    <row r="64" spans="1:6">
      <c r="A64" s="19"/>
      <c r="B64" s="51"/>
      <c r="C64" s="51"/>
      <c r="D64" s="7" t="s">
        <v>108</v>
      </c>
    </row>
    <row r="65" spans="1:4">
      <c r="A65" s="19"/>
      <c r="B65" s="51"/>
      <c r="C65" s="51">
        <v>3.2</v>
      </c>
      <c r="D65" s="7" t="s">
        <v>109</v>
      </c>
    </row>
    <row r="66" spans="1:4">
      <c r="A66" s="19"/>
      <c r="B66" s="51"/>
      <c r="C66" s="51"/>
      <c r="D66" s="7" t="s">
        <v>110</v>
      </c>
    </row>
    <row r="67" spans="1:4">
      <c r="A67" s="19"/>
      <c r="B67" s="51"/>
      <c r="C67" s="51"/>
      <c r="D67" s="7" t="s">
        <v>34</v>
      </c>
    </row>
    <row r="68" spans="1:4">
      <c r="A68" s="19"/>
      <c r="B68" s="51"/>
      <c r="C68" s="51"/>
      <c r="D68" s="7" t="s">
        <v>111</v>
      </c>
    </row>
    <row r="69" spans="1:4">
      <c r="A69" s="19"/>
      <c r="B69" s="51"/>
      <c r="C69" s="51"/>
      <c r="D69" s="7" t="s">
        <v>112</v>
      </c>
    </row>
    <row r="70" spans="1:4">
      <c r="A70" s="19"/>
      <c r="B70" s="51"/>
      <c r="C70" s="51"/>
      <c r="D70" s="7" t="s">
        <v>113</v>
      </c>
    </row>
    <row r="71" spans="1:4">
      <c r="A71" s="19"/>
      <c r="B71" s="51"/>
      <c r="C71" s="51"/>
      <c r="D71" s="7" t="s">
        <v>114</v>
      </c>
    </row>
    <row r="72" spans="1:4">
      <c r="A72" s="19"/>
      <c r="B72" s="51"/>
      <c r="C72" s="51"/>
      <c r="D72" s="7" t="s">
        <v>32</v>
      </c>
    </row>
    <row r="73" spans="1:4">
      <c r="A73" s="19"/>
      <c r="B73" s="51"/>
      <c r="C73" s="51"/>
      <c r="D73" s="7" t="s">
        <v>115</v>
      </c>
    </row>
    <row r="74" spans="1:4">
      <c r="A74" s="19"/>
      <c r="B74" s="51"/>
      <c r="C74" s="51"/>
      <c r="D74" s="7" t="s">
        <v>204</v>
      </c>
    </row>
    <row r="75" spans="1:4">
      <c r="A75" s="19"/>
      <c r="B75" s="51"/>
      <c r="C75" s="51"/>
      <c r="D75" s="7" t="s">
        <v>116</v>
      </c>
    </row>
    <row r="76" spans="1:4">
      <c r="A76" s="19"/>
      <c r="B76" s="51"/>
      <c r="C76" s="51"/>
      <c r="D76" s="7" t="s">
        <v>96</v>
      </c>
    </row>
    <row r="77" spans="1:4">
      <c r="A77" s="19"/>
      <c r="B77" s="51"/>
      <c r="C77" s="51">
        <v>3.3</v>
      </c>
      <c r="D77" s="7" t="s">
        <v>117</v>
      </c>
    </row>
    <row r="78" spans="1:4">
      <c r="A78" s="19"/>
      <c r="B78" s="51"/>
      <c r="C78" s="51"/>
      <c r="D78" s="7" t="s">
        <v>118</v>
      </c>
    </row>
    <row r="79" spans="1:4">
      <c r="A79" s="19"/>
      <c r="B79" s="51"/>
      <c r="C79" s="51"/>
      <c r="D79" s="7" t="s">
        <v>119</v>
      </c>
    </row>
    <row r="80" spans="1:4">
      <c r="A80" s="19"/>
      <c r="B80" s="51"/>
      <c r="C80" s="51"/>
      <c r="D80" s="7" t="s">
        <v>120</v>
      </c>
    </row>
    <row r="81" spans="1:4">
      <c r="A81" s="19"/>
      <c r="B81" s="51"/>
      <c r="C81" s="51"/>
      <c r="D81" s="7" t="s">
        <v>121</v>
      </c>
    </row>
    <row r="82" spans="1:4">
      <c r="A82" s="19"/>
      <c r="B82" s="51"/>
      <c r="C82" s="51"/>
      <c r="D82" s="7" t="s">
        <v>205</v>
      </c>
    </row>
    <row r="83" spans="1:4">
      <c r="A83" s="19"/>
      <c r="B83" s="51"/>
      <c r="C83" s="51"/>
      <c r="D83" s="7" t="s">
        <v>122</v>
      </c>
    </row>
    <row r="84" spans="1:4">
      <c r="A84" s="19"/>
      <c r="B84" s="51"/>
      <c r="C84" s="51"/>
      <c r="D84" s="7" t="s">
        <v>123</v>
      </c>
    </row>
    <row r="85" spans="1:4">
      <c r="A85" s="19"/>
      <c r="B85" s="51"/>
      <c r="C85" s="51"/>
      <c r="D85" s="7" t="s">
        <v>124</v>
      </c>
    </row>
    <row r="86" spans="1:4">
      <c r="A86" s="19"/>
      <c r="B86" s="51"/>
      <c r="C86" s="51"/>
      <c r="D86" s="7" t="s">
        <v>125</v>
      </c>
    </row>
    <row r="87" spans="1:4">
      <c r="A87" s="19"/>
      <c r="B87" s="51"/>
      <c r="C87" s="51"/>
      <c r="D87" s="7" t="s">
        <v>126</v>
      </c>
    </row>
    <row r="88" spans="1:4">
      <c r="A88" s="19"/>
      <c r="B88" s="51"/>
      <c r="C88" s="51">
        <v>3.4</v>
      </c>
      <c r="D88" s="15" t="s">
        <v>127</v>
      </c>
    </row>
    <row r="89" spans="1:4">
      <c r="A89" s="19"/>
      <c r="B89" s="51"/>
      <c r="C89" s="51"/>
      <c r="D89" s="7" t="s">
        <v>206</v>
      </c>
    </row>
    <row r="90" spans="1:4">
      <c r="A90" s="19"/>
      <c r="B90" s="51"/>
      <c r="C90" s="51"/>
      <c r="D90" s="7" t="s">
        <v>128</v>
      </c>
    </row>
    <row r="91" spans="1:4">
      <c r="A91" s="19"/>
      <c r="B91" s="51"/>
      <c r="C91" s="51"/>
      <c r="D91" s="7" t="s">
        <v>129</v>
      </c>
    </row>
    <row r="92" spans="1:4">
      <c r="A92" s="19"/>
      <c r="B92" s="51"/>
      <c r="C92" s="51"/>
      <c r="D92" s="7" t="s">
        <v>130</v>
      </c>
    </row>
    <row r="93" spans="1:4">
      <c r="A93" s="19"/>
      <c r="B93" s="51"/>
      <c r="C93" s="51"/>
      <c r="D93" s="7" t="s">
        <v>131</v>
      </c>
    </row>
    <row r="94" spans="1:4">
      <c r="A94" s="19"/>
      <c r="B94" s="51"/>
      <c r="C94" s="51"/>
      <c r="D94" s="7" t="s">
        <v>132</v>
      </c>
    </row>
    <row r="95" spans="1:4">
      <c r="A95" s="19"/>
      <c r="B95" s="51"/>
      <c r="C95" s="51"/>
      <c r="D95" s="7" t="s">
        <v>133</v>
      </c>
    </row>
    <row r="96" spans="1:4">
      <c r="A96" s="19"/>
      <c r="B96" s="51"/>
      <c r="C96" s="51"/>
      <c r="D96" s="7" t="s">
        <v>134</v>
      </c>
    </row>
    <row r="97" spans="1:4">
      <c r="A97" s="19"/>
      <c r="B97" s="51"/>
      <c r="C97" s="51"/>
      <c r="D97" s="7" t="s">
        <v>135</v>
      </c>
    </row>
    <row r="98" spans="1:4">
      <c r="A98" s="19"/>
      <c r="B98" s="51"/>
      <c r="C98" s="51"/>
      <c r="D98" s="7" t="s">
        <v>136</v>
      </c>
    </row>
    <row r="99" spans="1:4">
      <c r="A99" s="19"/>
      <c r="B99" s="51"/>
      <c r="C99" s="51"/>
      <c r="D99" s="7" t="s">
        <v>137</v>
      </c>
    </row>
    <row r="100" spans="1:4">
      <c r="A100" s="19"/>
      <c r="B100" s="51"/>
      <c r="C100" s="51"/>
      <c r="D100" s="7" t="s">
        <v>138</v>
      </c>
    </row>
    <row r="101" spans="1:4">
      <c r="A101" s="19"/>
      <c r="B101" s="51"/>
      <c r="C101" s="51">
        <v>3.5</v>
      </c>
      <c r="D101" s="11" t="s">
        <v>139</v>
      </c>
    </row>
    <row r="102" spans="1:4">
      <c r="A102" s="19"/>
      <c r="B102" s="51"/>
      <c r="C102" s="51"/>
      <c r="D102" s="7" t="s">
        <v>140</v>
      </c>
    </row>
    <row r="103" spans="1:4">
      <c r="A103" s="19"/>
      <c r="B103" s="51"/>
      <c r="C103" s="51"/>
      <c r="D103" s="7" t="s">
        <v>141</v>
      </c>
    </row>
    <row r="104" spans="1:4">
      <c r="A104" s="19"/>
      <c r="B104" s="51"/>
      <c r="C104" s="51"/>
      <c r="D104" s="7" t="s">
        <v>142</v>
      </c>
    </row>
    <row r="105" spans="1:4">
      <c r="A105" s="19"/>
      <c r="B105" s="51"/>
      <c r="C105" s="51"/>
      <c r="D105" s="7" t="s">
        <v>143</v>
      </c>
    </row>
    <row r="106" spans="1:4">
      <c r="A106" s="19"/>
      <c r="B106" s="51"/>
      <c r="C106" s="51"/>
      <c r="D106" s="7" t="s">
        <v>144</v>
      </c>
    </row>
    <row r="107" spans="1:4">
      <c r="A107" s="19"/>
      <c r="B107" s="51"/>
      <c r="C107" s="51"/>
      <c r="D107" s="7" t="s">
        <v>145</v>
      </c>
    </row>
    <row r="108" spans="1:4">
      <c r="A108" s="19"/>
      <c r="B108" s="51"/>
      <c r="C108" s="51"/>
      <c r="D108" s="7" t="s">
        <v>146</v>
      </c>
    </row>
    <row r="109" spans="1:4">
      <c r="A109" s="19"/>
      <c r="B109" s="51"/>
      <c r="C109" s="51"/>
      <c r="D109" s="7" t="s">
        <v>147</v>
      </c>
    </row>
    <row r="110" spans="1:4">
      <c r="A110" s="19"/>
      <c r="B110" s="51"/>
      <c r="C110" s="51">
        <v>3.6</v>
      </c>
      <c r="D110" s="7" t="s">
        <v>207</v>
      </c>
    </row>
    <row r="111" spans="1:4">
      <c r="A111" s="19"/>
      <c r="B111" s="51"/>
      <c r="C111" s="51"/>
      <c r="D111" s="7" t="s">
        <v>208</v>
      </c>
    </row>
    <row r="112" spans="1:4">
      <c r="A112" s="19"/>
      <c r="B112" s="51"/>
      <c r="C112" s="51"/>
      <c r="D112" s="7" t="s">
        <v>209</v>
      </c>
    </row>
    <row r="113" spans="1:4">
      <c r="A113" s="19"/>
      <c r="B113" s="51"/>
      <c r="C113" s="51"/>
      <c r="D113" s="7" t="s">
        <v>148</v>
      </c>
    </row>
    <row r="114" spans="1:4">
      <c r="A114" s="19"/>
      <c r="B114" s="51"/>
      <c r="C114" s="51"/>
      <c r="D114" s="7" t="s">
        <v>149</v>
      </c>
    </row>
    <row r="115" spans="1:4">
      <c r="A115" s="19"/>
      <c r="B115" s="51"/>
      <c r="C115" s="51"/>
      <c r="D115" s="7" t="s">
        <v>210</v>
      </c>
    </row>
    <row r="116" spans="1:4">
      <c r="A116" s="19"/>
      <c r="B116" s="51"/>
      <c r="C116" s="51">
        <v>3.7</v>
      </c>
      <c r="D116" s="7" t="s">
        <v>150</v>
      </c>
    </row>
    <row r="117" spans="1:4">
      <c r="A117" s="19"/>
      <c r="B117" s="51"/>
      <c r="C117" s="51"/>
      <c r="D117" s="7" t="s">
        <v>151</v>
      </c>
    </row>
    <row r="118" spans="1:4">
      <c r="A118" s="19"/>
      <c r="B118" s="51"/>
      <c r="C118" s="51"/>
      <c r="D118" s="7" t="s">
        <v>152</v>
      </c>
    </row>
    <row r="119" spans="1:4">
      <c r="A119" s="19"/>
      <c r="B119" s="51"/>
      <c r="C119" s="51"/>
      <c r="D119" s="7" t="s">
        <v>153</v>
      </c>
    </row>
    <row r="120" spans="1:4">
      <c r="A120" s="19"/>
      <c r="B120" s="51"/>
      <c r="C120" s="51"/>
      <c r="D120" s="7" t="s">
        <v>154</v>
      </c>
    </row>
    <row r="121" spans="1:4">
      <c r="A121" s="19"/>
      <c r="B121" s="51"/>
      <c r="C121" s="51"/>
      <c r="D121" s="7" t="s">
        <v>155</v>
      </c>
    </row>
    <row r="122" spans="1:4">
      <c r="A122" s="19"/>
      <c r="B122" s="51"/>
      <c r="C122" s="51"/>
      <c r="D122" s="7" t="s">
        <v>156</v>
      </c>
    </row>
    <row r="123" spans="1:4">
      <c r="A123" s="19"/>
      <c r="B123" s="51"/>
      <c r="C123" s="51"/>
      <c r="D123" s="7" t="s">
        <v>157</v>
      </c>
    </row>
    <row r="124" spans="1:4">
      <c r="A124" s="19"/>
      <c r="B124" s="51"/>
      <c r="C124" s="51"/>
      <c r="D124" s="7" t="s">
        <v>158</v>
      </c>
    </row>
    <row r="125" spans="1:4">
      <c r="A125" s="19"/>
      <c r="B125" s="51"/>
      <c r="C125" s="51"/>
      <c r="D125" s="7" t="s">
        <v>159</v>
      </c>
    </row>
    <row r="126" spans="1:4">
      <c r="A126" s="19"/>
      <c r="B126" s="51"/>
      <c r="C126" s="51"/>
      <c r="D126" s="7" t="s">
        <v>160</v>
      </c>
    </row>
    <row r="127" spans="1:4">
      <c r="A127" s="19"/>
      <c r="B127" s="51"/>
      <c r="C127" s="51">
        <v>3.8</v>
      </c>
      <c r="D127" s="7" t="s">
        <v>36</v>
      </c>
    </row>
    <row r="128" spans="1:4">
      <c r="A128" s="19"/>
      <c r="B128" s="51"/>
      <c r="C128" s="51"/>
      <c r="D128" s="7" t="s">
        <v>37</v>
      </c>
    </row>
    <row r="129" spans="1:4">
      <c r="A129" s="19"/>
      <c r="B129" s="51"/>
      <c r="C129" s="51"/>
      <c r="D129" s="7" t="s">
        <v>161</v>
      </c>
    </row>
    <row r="130" spans="1:4">
      <c r="A130" s="19"/>
      <c r="B130" s="51"/>
      <c r="C130" s="51"/>
      <c r="D130" s="7" t="s">
        <v>38</v>
      </c>
    </row>
    <row r="131" spans="1:4">
      <c r="A131" s="19"/>
      <c r="B131" s="51"/>
      <c r="C131" s="51"/>
      <c r="D131" s="7" t="s">
        <v>39</v>
      </c>
    </row>
    <row r="132" spans="1:4">
      <c r="A132" s="19"/>
      <c r="B132" s="51"/>
      <c r="C132" s="51"/>
      <c r="D132" s="7" t="s">
        <v>40</v>
      </c>
    </row>
    <row r="133" spans="1:4">
      <c r="A133" s="19"/>
      <c r="B133" s="51"/>
      <c r="C133" s="51"/>
      <c r="D133" s="7" t="s">
        <v>41</v>
      </c>
    </row>
    <row r="134" spans="1:4">
      <c r="A134" s="19"/>
      <c r="B134" s="51"/>
      <c r="C134" s="51"/>
      <c r="D134" s="7" t="s">
        <v>42</v>
      </c>
    </row>
    <row r="135" spans="1:4">
      <c r="A135" s="19"/>
      <c r="B135" s="51"/>
      <c r="C135" s="51"/>
      <c r="D135" s="7" t="s">
        <v>43</v>
      </c>
    </row>
    <row r="136" spans="1:4">
      <c r="A136" s="19"/>
      <c r="B136" s="51"/>
      <c r="C136" s="51"/>
      <c r="D136" s="7" t="s">
        <v>162</v>
      </c>
    </row>
    <row r="137" spans="1:4">
      <c r="A137" s="19"/>
      <c r="B137" s="51"/>
      <c r="C137" s="51">
        <v>3.9</v>
      </c>
      <c r="D137" s="7" t="s">
        <v>163</v>
      </c>
    </row>
    <row r="138" spans="1:4">
      <c r="A138" s="19"/>
      <c r="B138" s="51"/>
      <c r="C138" s="51"/>
      <c r="D138" s="7" t="s">
        <v>35</v>
      </c>
    </row>
    <row r="139" spans="1:4">
      <c r="A139" s="19"/>
      <c r="B139" s="51"/>
      <c r="C139" s="51"/>
      <c r="D139" s="7" t="s">
        <v>164</v>
      </c>
    </row>
    <row r="140" spans="1:4">
      <c r="A140" s="19"/>
      <c r="B140" s="51"/>
      <c r="C140" s="51"/>
      <c r="D140" s="7" t="s">
        <v>165</v>
      </c>
    </row>
    <row r="141" spans="1:4">
      <c r="A141" s="19"/>
      <c r="B141" s="51"/>
      <c r="C141" s="51"/>
      <c r="D141" s="7" t="s">
        <v>166</v>
      </c>
    </row>
    <row r="142" spans="1:4">
      <c r="A142" s="19"/>
      <c r="B142" s="51"/>
      <c r="C142" s="54">
        <v>3.1</v>
      </c>
      <c r="D142" s="7" t="s">
        <v>167</v>
      </c>
    </row>
    <row r="143" spans="1:4">
      <c r="A143" s="19"/>
      <c r="B143" s="51"/>
      <c r="C143" s="54"/>
      <c r="D143" s="7" t="s">
        <v>168</v>
      </c>
    </row>
    <row r="144" spans="1:4">
      <c r="A144" s="19"/>
      <c r="B144" s="51"/>
      <c r="C144" s="54"/>
      <c r="D144" s="7" t="s">
        <v>169</v>
      </c>
    </row>
    <row r="145" spans="1:4">
      <c r="A145" s="19"/>
      <c r="B145" s="51"/>
      <c r="C145" s="54"/>
      <c r="D145" s="7" t="s">
        <v>170</v>
      </c>
    </row>
    <row r="146" spans="1:4">
      <c r="A146" s="19"/>
      <c r="B146" s="51"/>
      <c r="C146" s="54"/>
      <c r="D146" s="7" t="s">
        <v>171</v>
      </c>
    </row>
    <row r="147" spans="1:4">
      <c r="A147" s="19"/>
      <c r="B147" s="51"/>
      <c r="C147" s="54"/>
      <c r="D147" s="7" t="s">
        <v>172</v>
      </c>
    </row>
    <row r="148" spans="1:4">
      <c r="A148" s="19"/>
      <c r="B148" s="51"/>
      <c r="C148" s="54"/>
      <c r="D148" s="7" t="s">
        <v>173</v>
      </c>
    </row>
    <row r="149" spans="1:4">
      <c r="A149" s="19"/>
      <c r="B149" s="51"/>
      <c r="C149" s="54"/>
      <c r="D149" s="7" t="s">
        <v>174</v>
      </c>
    </row>
    <row r="150" spans="1:4">
      <c r="A150" s="19"/>
      <c r="B150" s="51"/>
      <c r="C150" s="54"/>
      <c r="D150" s="7" t="s">
        <v>175</v>
      </c>
    </row>
    <row r="151" spans="1:4">
      <c r="A151" s="19"/>
      <c r="B151" s="51"/>
      <c r="C151" s="54"/>
      <c r="D151" s="7" t="s">
        <v>176</v>
      </c>
    </row>
    <row r="152" spans="1:4">
      <c r="A152" s="19"/>
      <c r="B152" s="51"/>
      <c r="C152" s="54"/>
      <c r="D152" s="7" t="s">
        <v>177</v>
      </c>
    </row>
    <row r="153" spans="1:4">
      <c r="A153" s="19"/>
      <c r="B153" s="51"/>
      <c r="C153" s="54"/>
      <c r="D153" s="7" t="s">
        <v>178</v>
      </c>
    </row>
    <row r="154" spans="1:4">
      <c r="A154" s="19"/>
      <c r="B154" s="51"/>
      <c r="C154" s="54"/>
      <c r="D154" s="7" t="s">
        <v>179</v>
      </c>
    </row>
    <row r="155" spans="1:4">
      <c r="A155" s="19"/>
      <c r="B155" s="51"/>
      <c r="C155" s="54"/>
      <c r="D155" s="7" t="s">
        <v>180</v>
      </c>
    </row>
    <row r="156" spans="1:4">
      <c r="A156" s="19"/>
      <c r="B156" s="51"/>
      <c r="C156" s="54"/>
      <c r="D156" s="7" t="s">
        <v>56</v>
      </c>
    </row>
    <row r="157" spans="1:4">
      <c r="A157" s="20"/>
      <c r="B157" s="51">
        <v>4</v>
      </c>
      <c r="C157" s="51">
        <v>4.0999999999999996</v>
      </c>
      <c r="D157" s="7" t="s">
        <v>181</v>
      </c>
    </row>
    <row r="158" spans="1:4">
      <c r="A158" s="19"/>
      <c r="B158" s="51"/>
      <c r="C158" s="51"/>
      <c r="D158" s="7" t="s">
        <v>182</v>
      </c>
    </row>
    <row r="159" spans="1:4">
      <c r="A159" s="19"/>
      <c r="B159" s="51"/>
      <c r="C159" s="51"/>
      <c r="D159" s="7" t="s">
        <v>183</v>
      </c>
    </row>
    <row r="160" spans="1:4">
      <c r="A160" s="19"/>
      <c r="B160" s="51"/>
      <c r="C160" s="51"/>
      <c r="D160" s="7" t="s">
        <v>184</v>
      </c>
    </row>
    <row r="161" spans="1:4">
      <c r="A161" s="19"/>
      <c r="B161" s="51"/>
      <c r="C161" s="51">
        <v>4.2</v>
      </c>
      <c r="D161" s="7" t="s">
        <v>185</v>
      </c>
    </row>
    <row r="162" spans="1:4">
      <c r="A162" s="19"/>
      <c r="B162" s="51"/>
      <c r="C162" s="51"/>
      <c r="D162" s="7" t="s">
        <v>186</v>
      </c>
    </row>
    <row r="163" spans="1:4">
      <c r="A163" s="19"/>
      <c r="B163" s="51"/>
      <c r="C163" s="51"/>
      <c r="D163" s="7" t="s">
        <v>187</v>
      </c>
    </row>
    <row r="164" spans="1:4">
      <c r="A164" s="19"/>
      <c r="B164" s="51"/>
      <c r="C164" s="51"/>
      <c r="D164" s="7" t="s">
        <v>44</v>
      </c>
    </row>
    <row r="165" spans="1:4">
      <c r="A165" s="19"/>
      <c r="B165" s="51"/>
      <c r="C165" s="51"/>
      <c r="D165" s="7" t="s">
        <v>188</v>
      </c>
    </row>
    <row r="166" spans="1:4">
      <c r="A166" s="19"/>
      <c r="B166" s="51"/>
      <c r="C166" s="51"/>
      <c r="D166" s="7" t="s">
        <v>189</v>
      </c>
    </row>
    <row r="167" spans="1:4">
      <c r="A167" s="19"/>
      <c r="B167" s="51"/>
      <c r="C167" s="51"/>
      <c r="D167" s="7" t="s">
        <v>45</v>
      </c>
    </row>
    <row r="168" spans="1:4">
      <c r="A168" s="19"/>
      <c r="B168" s="51"/>
      <c r="C168" s="51">
        <v>4.3</v>
      </c>
      <c r="D168" s="7" t="s">
        <v>46</v>
      </c>
    </row>
    <row r="169" spans="1:4">
      <c r="A169" s="19"/>
      <c r="B169" s="51"/>
      <c r="C169" s="51"/>
      <c r="D169" s="7" t="s">
        <v>47</v>
      </c>
    </row>
    <row r="170" spans="1:4">
      <c r="A170" s="19"/>
      <c r="B170" s="51"/>
      <c r="C170" s="51"/>
      <c r="D170" s="7" t="s">
        <v>190</v>
      </c>
    </row>
    <row r="171" spans="1:4">
      <c r="A171" s="19"/>
      <c r="B171" s="51"/>
      <c r="C171" s="51"/>
      <c r="D171" s="7" t="s">
        <v>191</v>
      </c>
    </row>
    <row r="172" spans="1:4">
      <c r="A172" s="19"/>
      <c r="B172" s="51"/>
      <c r="C172" s="51"/>
      <c r="D172" s="7" t="s">
        <v>192</v>
      </c>
    </row>
    <row r="173" spans="1:4">
      <c r="A173" s="19"/>
      <c r="B173" s="51"/>
      <c r="C173" s="51"/>
      <c r="D173" s="7" t="s">
        <v>48</v>
      </c>
    </row>
    <row r="174" spans="1:4">
      <c r="A174" s="19"/>
      <c r="B174" s="51"/>
      <c r="C174" s="51">
        <v>4.4000000000000004</v>
      </c>
      <c r="D174" s="7" t="s">
        <v>193</v>
      </c>
    </row>
    <row r="175" spans="1:4">
      <c r="A175" s="19"/>
      <c r="B175" s="51"/>
      <c r="C175" s="51"/>
      <c r="D175" s="7" t="s">
        <v>194</v>
      </c>
    </row>
    <row r="176" spans="1:4">
      <c r="A176" s="19"/>
      <c r="B176" s="51"/>
      <c r="C176" s="51"/>
      <c r="D176" s="7" t="s">
        <v>195</v>
      </c>
    </row>
    <row r="177" spans="1:4">
      <c r="A177" s="19"/>
      <c r="B177" s="51"/>
      <c r="C177" s="51"/>
      <c r="D177" s="7" t="s">
        <v>196</v>
      </c>
    </row>
    <row r="178" spans="1:4">
      <c r="A178" s="19"/>
      <c r="B178" s="51"/>
      <c r="C178" s="51"/>
      <c r="D178" s="7" t="s">
        <v>197</v>
      </c>
    </row>
    <row r="179" spans="1:4">
      <c r="A179" s="19"/>
      <c r="B179" s="51"/>
      <c r="C179" s="51"/>
      <c r="D179" s="7" t="s">
        <v>198</v>
      </c>
    </row>
    <row r="180" spans="1:4">
      <c r="A180" s="19"/>
      <c r="B180" s="51"/>
      <c r="C180" s="51"/>
      <c r="D180" s="7" t="s">
        <v>199</v>
      </c>
    </row>
    <row r="181" spans="1:4">
      <c r="A181" s="19"/>
      <c r="B181" s="51"/>
      <c r="C181" s="51"/>
      <c r="D181" s="7" t="s">
        <v>57</v>
      </c>
    </row>
  </sheetData>
  <autoFilter ref="A2:J181" xr:uid="{00000000-0009-0000-0000-000001000000}"/>
  <mergeCells count="51">
    <mergeCell ref="C168:C173"/>
    <mergeCell ref="C174:C181"/>
    <mergeCell ref="B3:B25"/>
    <mergeCell ref="B59:B156"/>
    <mergeCell ref="B157:B181"/>
    <mergeCell ref="C116:C126"/>
    <mergeCell ref="C127:C136"/>
    <mergeCell ref="C137:C141"/>
    <mergeCell ref="C142:C156"/>
    <mergeCell ref="C157:C160"/>
    <mergeCell ref="C161:C167"/>
    <mergeCell ref="C59:C64"/>
    <mergeCell ref="C65:C76"/>
    <mergeCell ref="C77:C87"/>
    <mergeCell ref="C88:C100"/>
    <mergeCell ref="C101:C109"/>
    <mergeCell ref="C110:C115"/>
    <mergeCell ref="C29:C30"/>
    <mergeCell ref="C31:C37"/>
    <mergeCell ref="C38:C45"/>
    <mergeCell ref="C50:C58"/>
    <mergeCell ref="A1:J1"/>
    <mergeCell ref="E3:E11"/>
    <mergeCell ref="E12:E14"/>
    <mergeCell ref="F3:F11"/>
    <mergeCell ref="E15:E17"/>
    <mergeCell ref="C3:C11"/>
    <mergeCell ref="C12:C14"/>
    <mergeCell ref="C15:C17"/>
    <mergeCell ref="G31:G37"/>
    <mergeCell ref="E38:E45"/>
    <mergeCell ref="E46:E49"/>
    <mergeCell ref="E18:E25"/>
    <mergeCell ref="F12:F14"/>
    <mergeCell ref="F15:F17"/>
    <mergeCell ref="F18:F25"/>
    <mergeCell ref="E50:E58"/>
    <mergeCell ref="E26:E28"/>
    <mergeCell ref="A3:A58"/>
    <mergeCell ref="C26:C28"/>
    <mergeCell ref="B26:B58"/>
    <mergeCell ref="C46:C49"/>
    <mergeCell ref="E29:E30"/>
    <mergeCell ref="E31:E37"/>
    <mergeCell ref="C18:C25"/>
    <mergeCell ref="F50:F58"/>
    <mergeCell ref="F26:F28"/>
    <mergeCell ref="F29:F30"/>
    <mergeCell ref="F31:F37"/>
    <mergeCell ref="F38:F45"/>
    <mergeCell ref="F46:F49"/>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tabSelected="1" topLeftCell="B10" zoomScale="115" zoomScaleNormal="115" workbookViewId="0">
      <selection activeCell="F13" sqref="F13"/>
    </sheetView>
  </sheetViews>
  <sheetFormatPr defaultRowHeight="14.4"/>
  <cols>
    <col min="1" max="1" width="8.88671875" style="15" customWidth="1"/>
    <col min="2" max="2" width="11.88671875" style="15" bestFit="1" customWidth="1"/>
    <col min="3" max="3" width="9.88671875" style="15" bestFit="1" customWidth="1"/>
    <col min="4" max="4" width="75" bestFit="1" customWidth="1"/>
    <col min="5" max="5" width="11.5546875" bestFit="1" customWidth="1"/>
    <col min="6" max="6" width="11.109375" bestFit="1" customWidth="1"/>
    <col min="7" max="7" width="11.33203125" bestFit="1" customWidth="1"/>
  </cols>
  <sheetData>
    <row r="1" spans="1:12">
      <c r="A1" s="46" t="s">
        <v>49</v>
      </c>
      <c r="B1" s="46"/>
      <c r="C1" s="46"/>
      <c r="D1" s="46"/>
      <c r="E1" s="46"/>
      <c r="F1" s="46"/>
      <c r="G1" s="46"/>
      <c r="H1" s="46"/>
      <c r="I1" s="46"/>
      <c r="J1" s="46"/>
    </row>
    <row r="2" spans="1:12" s="4" customFormat="1">
      <c r="A2" s="32" t="s">
        <v>5</v>
      </c>
      <c r="B2" s="32" t="s">
        <v>28</v>
      </c>
      <c r="C2" s="32" t="s">
        <v>0</v>
      </c>
      <c r="D2" s="10" t="s">
        <v>13</v>
      </c>
      <c r="E2" s="10" t="s">
        <v>52</v>
      </c>
      <c r="F2" s="10" t="s">
        <v>7</v>
      </c>
      <c r="G2" s="10" t="s">
        <v>4</v>
      </c>
      <c r="H2" s="10" t="s">
        <v>29</v>
      </c>
      <c r="I2" s="10" t="s">
        <v>3</v>
      </c>
      <c r="J2" s="10" t="s">
        <v>2</v>
      </c>
      <c r="K2" s="39" t="s">
        <v>250</v>
      </c>
      <c r="L2" s="40"/>
    </row>
    <row r="3" spans="1:12" ht="129.6">
      <c r="A3" s="44">
        <v>1</v>
      </c>
      <c r="B3" s="44">
        <v>1</v>
      </c>
      <c r="C3" s="15">
        <v>1.1000000000000001</v>
      </c>
      <c r="D3" s="2" t="s">
        <v>251</v>
      </c>
      <c r="E3" t="s">
        <v>20</v>
      </c>
      <c r="F3" cm="1">
        <f t="array" ref="F3">_xlfn.SWITCH(E3,"XS",1,"S",2,"M",3,"L",5,"XL",8,"XXL",13,"XXXL",21,"")</f>
        <v>5</v>
      </c>
      <c r="G3" t="s">
        <v>245</v>
      </c>
      <c r="H3" t="s">
        <v>260</v>
      </c>
    </row>
    <row r="4" spans="1:12" ht="57.6">
      <c r="A4" s="44"/>
      <c r="B4" s="44"/>
      <c r="C4" s="15">
        <v>1.2</v>
      </c>
      <c r="D4" s="2" t="s">
        <v>252</v>
      </c>
      <c r="E4" t="s">
        <v>19</v>
      </c>
      <c r="F4" cm="1">
        <f t="array" ref="F4">_xlfn.SWITCH(E4,"XS",1,"S",2,"M",3,"L",5,"XL",8,"XXL",13,"XXXL",21,"")</f>
        <v>3</v>
      </c>
      <c r="G4" t="s">
        <v>245</v>
      </c>
      <c r="H4" t="s">
        <v>260</v>
      </c>
    </row>
    <row r="5" spans="1:12" ht="43.2">
      <c r="A5" s="44"/>
      <c r="B5" s="44"/>
      <c r="C5" s="15">
        <v>1.3</v>
      </c>
      <c r="D5" s="2" t="s">
        <v>230</v>
      </c>
      <c r="E5" t="s">
        <v>17</v>
      </c>
      <c r="F5" cm="1">
        <f t="array" ref="F5">_xlfn.SWITCH(E5,"XS",1,"S",2,"M",3,"L",5,"XL",8,"XXL",13,"XXXL",21,"")</f>
        <v>1</v>
      </c>
      <c r="G5" t="s">
        <v>246</v>
      </c>
      <c r="H5" t="s">
        <v>260</v>
      </c>
    </row>
    <row r="6" spans="1:12" ht="115.2">
      <c r="A6" s="44"/>
      <c r="B6" s="44"/>
      <c r="C6" s="36">
        <v>1.4</v>
      </c>
      <c r="D6" s="37" t="s">
        <v>231</v>
      </c>
      <c r="E6" s="38" t="s">
        <v>20</v>
      </c>
      <c r="F6" s="38" cm="1">
        <f t="array" ref="F6">_xlfn.SWITCH(E6,"XS",1,"S",2,"M",3,"L",5,"XL",8,"XXL",13,"XXXL",21,"")</f>
        <v>5</v>
      </c>
      <c r="G6" s="38" t="s">
        <v>247</v>
      </c>
      <c r="H6" s="38" t="s">
        <v>260</v>
      </c>
      <c r="I6" s="38"/>
      <c r="J6" s="38"/>
    </row>
    <row r="7" spans="1:12" ht="72">
      <c r="A7" s="44"/>
      <c r="B7" s="44">
        <v>2</v>
      </c>
      <c r="C7" s="15">
        <v>2.1</v>
      </c>
      <c r="D7" s="2" t="s">
        <v>253</v>
      </c>
      <c r="E7" t="s">
        <v>18</v>
      </c>
      <c r="F7" cm="1">
        <f t="array" ref="F7">_xlfn.SWITCH(E7,"XS",1,"S",2,"M",3,"L",5,"XL",8,"XXL",13,"XXXL",21,"")</f>
        <v>2</v>
      </c>
      <c r="G7" t="s">
        <v>245</v>
      </c>
      <c r="H7" t="s">
        <v>260</v>
      </c>
    </row>
    <row r="8" spans="1:12" ht="57.6">
      <c r="A8" s="44"/>
      <c r="B8" s="44"/>
      <c r="C8" s="15">
        <v>2.2000000000000002</v>
      </c>
      <c r="D8" s="2" t="s">
        <v>254</v>
      </c>
      <c r="E8" t="s">
        <v>17</v>
      </c>
      <c r="F8" cm="1">
        <f t="array" ref="F8">_xlfn.SWITCH(E8,"XS",1,"S",2,"M",3,"L",5,"XL",8,"XXL",13,"XXXL",21,"")</f>
        <v>1</v>
      </c>
      <c r="G8" t="s">
        <v>247</v>
      </c>
      <c r="H8" t="s">
        <v>260</v>
      </c>
    </row>
    <row r="9" spans="1:12" ht="100.8">
      <c r="A9" s="44"/>
      <c r="B9" s="44"/>
      <c r="C9" s="15">
        <v>2.2999999999999998</v>
      </c>
      <c r="D9" s="2" t="s">
        <v>255</v>
      </c>
      <c r="E9" t="s">
        <v>21</v>
      </c>
      <c r="F9" cm="1">
        <f t="array" ref="F9">_xlfn.SWITCH(E9,"XS",1,"S",2,"M",3,"L",5,"XL",8,"XXL",13,"XXXL",21,"")</f>
        <v>8</v>
      </c>
      <c r="G9" t="s">
        <v>212</v>
      </c>
      <c r="H9" t="s">
        <v>261</v>
      </c>
    </row>
    <row r="10" spans="1:12" ht="115.2">
      <c r="A10" s="44"/>
      <c r="B10" s="44"/>
      <c r="C10" s="15">
        <v>2.4</v>
      </c>
      <c r="D10" s="2" t="s">
        <v>256</v>
      </c>
      <c r="E10" t="s">
        <v>20</v>
      </c>
      <c r="F10" cm="1">
        <f t="array" ref="F10">_xlfn.SWITCH(E10,"XS",1,"S",2,"M",3,"L",5,"XL",8,"XXL",13,"XXXL",21,"")</f>
        <v>5</v>
      </c>
      <c r="G10" t="s">
        <v>248</v>
      </c>
      <c r="H10" t="s">
        <v>260</v>
      </c>
    </row>
    <row r="11" spans="1:12" ht="100.8">
      <c r="A11" s="44"/>
      <c r="B11" s="44"/>
      <c r="C11" s="15">
        <v>2.5</v>
      </c>
      <c r="D11" s="2" t="s">
        <v>257</v>
      </c>
      <c r="E11" t="s">
        <v>18</v>
      </c>
      <c r="F11" cm="1">
        <f t="array" ref="F11">_xlfn.SWITCH(E11,"XS",1,"S",2,"M",3,"L",5,"XL",8,"XXL",13,"XXXL",21,"")</f>
        <v>2</v>
      </c>
      <c r="G11" t="s">
        <v>245</v>
      </c>
      <c r="H11" t="s">
        <v>261</v>
      </c>
    </row>
    <row r="12" spans="1:12" ht="115.2">
      <c r="A12" s="44"/>
      <c r="B12" s="44"/>
      <c r="C12" s="15">
        <v>2.6</v>
      </c>
      <c r="D12" s="2" t="s">
        <v>258</v>
      </c>
      <c r="E12" t="s">
        <v>19</v>
      </c>
      <c r="F12" cm="1">
        <f t="array" ref="F12">_xlfn.SWITCH(E12,"XS",1,"S",2,"M",3,"L",5,"XL",8,"XXL",13,"XXXL",21,"")</f>
        <v>3</v>
      </c>
      <c r="G12" t="s">
        <v>249</v>
      </c>
      <c r="H12" t="s">
        <v>261</v>
      </c>
    </row>
    <row r="13" spans="1:12" ht="158.4">
      <c r="A13" s="44"/>
      <c r="B13" s="44"/>
      <c r="C13" s="36">
        <v>2.7</v>
      </c>
      <c r="D13" s="37" t="s">
        <v>232</v>
      </c>
      <c r="E13" s="38" t="s">
        <v>20</v>
      </c>
      <c r="F13" s="38" cm="1">
        <f t="array" ref="F13">_xlfn.SWITCH(E13,"XS",1,"S",2,"M",3,"L",5,"XL",8,"XXL",13,"XXXL",21,"")</f>
        <v>5</v>
      </c>
      <c r="G13" s="38" t="s">
        <v>247</v>
      </c>
      <c r="H13" s="38" t="s">
        <v>262</v>
      </c>
      <c r="I13" s="38"/>
      <c r="J13" s="38"/>
    </row>
    <row r="14" spans="1:12" ht="144">
      <c r="C14" s="41">
        <v>2.8</v>
      </c>
      <c r="D14" s="42" t="s">
        <v>259</v>
      </c>
      <c r="E14" s="43" t="s">
        <v>20</v>
      </c>
      <c r="F14" s="43" cm="1">
        <f t="array" ref="F14">_xlfn.SWITCH(E14,"XS",1,"S",2,"M",3,"L",5,"XL",8,"XXL",13,"XXXL",21,"")</f>
        <v>5</v>
      </c>
      <c r="G14" s="43" t="s">
        <v>247</v>
      </c>
      <c r="H14" s="43" t="s">
        <v>262</v>
      </c>
      <c r="I14" s="43"/>
      <c r="J14" s="43"/>
    </row>
    <row r="15" spans="1:12">
      <c r="A15" s="33"/>
      <c r="B15" s="34"/>
      <c r="C15" s="34"/>
      <c r="D15" s="30" t="s">
        <v>233</v>
      </c>
      <c r="E15" s="29"/>
      <c r="F15" s="29">
        <f>SUM(F3:F14)</f>
        <v>45</v>
      </c>
      <c r="G15" s="29"/>
      <c r="H15" s="29"/>
      <c r="I15" s="29"/>
      <c r="J15" s="31"/>
    </row>
    <row r="16" spans="1:12" ht="86.4">
      <c r="A16" s="45">
        <v>2</v>
      </c>
      <c r="B16" s="45">
        <v>3</v>
      </c>
      <c r="C16" s="15">
        <v>3.1</v>
      </c>
      <c r="D16" s="2" t="s">
        <v>234</v>
      </c>
    </row>
    <row r="17" spans="1:4" ht="86.4">
      <c r="A17" s="44"/>
      <c r="B17" s="44"/>
      <c r="C17" s="15">
        <v>3.2</v>
      </c>
      <c r="D17" s="2" t="s">
        <v>266</v>
      </c>
    </row>
    <row r="18" spans="1:4" ht="86.4">
      <c r="A18" s="44"/>
      <c r="B18" s="44"/>
      <c r="C18" s="15">
        <v>3.3</v>
      </c>
      <c r="D18" s="2" t="s">
        <v>265</v>
      </c>
    </row>
    <row r="19" spans="1:4" ht="158.4">
      <c r="A19" s="44"/>
      <c r="B19" s="44"/>
      <c r="C19" s="15">
        <v>3.4</v>
      </c>
      <c r="D19" s="2" t="s">
        <v>235</v>
      </c>
    </row>
    <row r="20" spans="1:4" ht="100.8">
      <c r="A20" s="44"/>
      <c r="B20" s="44"/>
      <c r="C20" s="15">
        <v>3.5</v>
      </c>
      <c r="D20" s="2" t="s">
        <v>267</v>
      </c>
    </row>
    <row r="21" spans="1:4" ht="115.2">
      <c r="A21" s="44"/>
      <c r="B21" s="44"/>
      <c r="C21" s="15">
        <v>3.6</v>
      </c>
      <c r="D21" s="2" t="s">
        <v>269</v>
      </c>
    </row>
    <row r="22" spans="1:4">
      <c r="A22" s="44"/>
      <c r="B22" s="44"/>
      <c r="C22" s="15">
        <v>3.7</v>
      </c>
      <c r="D22" s="2" t="s">
        <v>268</v>
      </c>
    </row>
    <row r="23" spans="1:4" ht="86.4">
      <c r="A23" s="44"/>
      <c r="B23" s="44"/>
      <c r="C23" s="15">
        <v>3.8</v>
      </c>
      <c r="D23" s="2" t="s">
        <v>236</v>
      </c>
    </row>
    <row r="24" spans="1:4" ht="158.4">
      <c r="A24" s="44"/>
      <c r="B24" s="44"/>
      <c r="C24" s="15">
        <v>3.9</v>
      </c>
      <c r="D24" s="2" t="s">
        <v>237</v>
      </c>
    </row>
    <row r="25" spans="1:4" ht="144">
      <c r="A25" s="44"/>
      <c r="B25" s="44"/>
      <c r="C25" s="35">
        <v>3.1</v>
      </c>
      <c r="D25" s="2" t="s">
        <v>238</v>
      </c>
    </row>
    <row r="26" spans="1:4" ht="72">
      <c r="A26" s="44"/>
      <c r="B26" s="44"/>
      <c r="C26" s="15">
        <v>3.11</v>
      </c>
      <c r="D26" s="2" t="s">
        <v>239</v>
      </c>
    </row>
    <row r="27" spans="1:4" ht="216">
      <c r="A27" s="44"/>
      <c r="B27" s="44"/>
      <c r="C27" s="35">
        <v>3.12</v>
      </c>
      <c r="D27" s="2" t="s">
        <v>240</v>
      </c>
    </row>
    <row r="28" spans="1:4" ht="57.6">
      <c r="A28" s="44"/>
      <c r="B28" s="44">
        <v>4</v>
      </c>
      <c r="C28" s="15">
        <v>4.0999999999999996</v>
      </c>
      <c r="D28" s="2" t="s">
        <v>241</v>
      </c>
    </row>
    <row r="29" spans="1:4" ht="100.8">
      <c r="A29" s="44"/>
      <c r="B29" s="44"/>
      <c r="C29" s="15">
        <v>4.2</v>
      </c>
      <c r="D29" s="2" t="s">
        <v>242</v>
      </c>
    </row>
    <row r="30" spans="1:4" ht="86.4">
      <c r="A30" s="44"/>
      <c r="B30" s="44"/>
      <c r="C30" s="15">
        <v>4.3</v>
      </c>
      <c r="D30" s="2" t="s">
        <v>243</v>
      </c>
    </row>
    <row r="31" spans="1:4" ht="115.2">
      <c r="A31" s="44"/>
      <c r="B31" s="44"/>
      <c r="C31" s="15">
        <v>4.4000000000000004</v>
      </c>
      <c r="D31" s="2" t="s">
        <v>244</v>
      </c>
    </row>
  </sheetData>
  <mergeCells count="7">
    <mergeCell ref="B28:B31"/>
    <mergeCell ref="A16:A31"/>
    <mergeCell ref="A1:J1"/>
    <mergeCell ref="A3:A13"/>
    <mergeCell ref="B3:B6"/>
    <mergeCell ref="B7:B13"/>
    <mergeCell ref="B16:B27"/>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workbookViewId="0">
      <selection activeCell="E10" sqref="E10"/>
    </sheetView>
  </sheetViews>
  <sheetFormatPr defaultRowHeight="14.4"/>
  <cols>
    <col min="1" max="1" width="4.88671875" style="21" bestFit="1" customWidth="1"/>
    <col min="2" max="2" width="10.33203125" bestFit="1" customWidth="1"/>
    <col min="3" max="3" width="10.6640625" style="3" customWidth="1"/>
    <col min="5" max="5" width="10.6640625" style="3" customWidth="1"/>
  </cols>
  <sheetData>
    <row r="1" spans="1:5" ht="57.6">
      <c r="A1" s="22" t="s">
        <v>214</v>
      </c>
      <c r="B1" s="23" t="s">
        <v>215</v>
      </c>
      <c r="C1" s="24" t="s">
        <v>216</v>
      </c>
      <c r="D1" s="24" t="s">
        <v>217</v>
      </c>
      <c r="E1" s="24" t="s">
        <v>218</v>
      </c>
    </row>
    <row r="2" spans="1:5">
      <c r="A2" s="25" t="s">
        <v>227</v>
      </c>
      <c r="B2" s="26">
        <v>46265</v>
      </c>
      <c r="C2" s="27">
        <v>45</v>
      </c>
      <c r="D2" s="12">
        <f>('Updated Sprint'!F15)*(1-(A2-1)/8)</f>
        <v>45</v>
      </c>
      <c r="E2" s="28">
        <v>1</v>
      </c>
    </row>
    <row r="3" spans="1:5">
      <c r="A3" s="25" t="s">
        <v>219</v>
      </c>
      <c r="B3" s="26">
        <v>46266</v>
      </c>
      <c r="C3" s="27">
        <f>('Updated Sprint'!F15)-SUM(E$2:E3)</f>
        <v>44</v>
      </c>
      <c r="D3" s="12">
        <f>('Updated Sprint'!F15)*(1-(A3-1)/8)</f>
        <v>39.375</v>
      </c>
      <c r="E3" s="28">
        <v>0</v>
      </c>
    </row>
    <row r="4" spans="1:5">
      <c r="A4" s="25" t="s">
        <v>220</v>
      </c>
      <c r="B4" s="26">
        <v>46267</v>
      </c>
      <c r="C4" s="27">
        <f>('Updated Sprint'!F15)-SUM(E$2:E4)</f>
        <v>39</v>
      </c>
      <c r="D4" s="12">
        <f>('Updated Sprint'!F15)*(1-(A4-1)/8)</f>
        <v>33.75</v>
      </c>
      <c r="E4" s="28">
        <v>5</v>
      </c>
    </row>
    <row r="5" spans="1:5">
      <c r="A5" s="25" t="s">
        <v>221</v>
      </c>
      <c r="B5" s="26">
        <v>46268</v>
      </c>
      <c r="C5" s="27">
        <f>('Updated Sprint'!F15)-SUM(E$2:E5)</f>
        <v>39</v>
      </c>
      <c r="D5" s="12">
        <f>('Updated Sprint'!F15)*(1-(A5-1)/8)</f>
        <v>28.125</v>
      </c>
      <c r="E5" s="28">
        <v>0</v>
      </c>
    </row>
    <row r="6" spans="1:5">
      <c r="A6" s="25" t="s">
        <v>222</v>
      </c>
      <c r="B6" s="26">
        <v>46269</v>
      </c>
      <c r="C6" s="27">
        <f>('Updated Sprint'!F15)-SUM(E$2:E6)</f>
        <v>36</v>
      </c>
      <c r="D6" s="12">
        <f>('Updated Sprint'!F15)*(1-(A6-1)/8)</f>
        <v>22.5</v>
      </c>
      <c r="E6" s="28">
        <v>3</v>
      </c>
    </row>
    <row r="7" spans="1:5">
      <c r="A7" s="25" t="s">
        <v>223</v>
      </c>
      <c r="B7" s="26">
        <v>46272</v>
      </c>
      <c r="C7" s="27">
        <f>('Updated Sprint'!F15)-SUM(E$2:E7)</f>
        <v>31</v>
      </c>
      <c r="D7" s="12">
        <f>('Updated Sprint'!F15)*(1-(A7-1)/8)</f>
        <v>16.875</v>
      </c>
      <c r="E7" s="28">
        <v>5</v>
      </c>
    </row>
    <row r="8" spans="1:5">
      <c r="A8" s="25" t="s">
        <v>224</v>
      </c>
      <c r="B8" s="26">
        <v>46273</v>
      </c>
      <c r="C8" s="27">
        <f>('Updated Sprint'!F15)-SUM(E$2:E8)</f>
        <v>31</v>
      </c>
      <c r="D8" s="12">
        <f>('Updated Sprint'!F15)*(1-(A8-1)/8)</f>
        <v>11.25</v>
      </c>
      <c r="E8" s="28">
        <v>0</v>
      </c>
    </row>
    <row r="9" spans="1:5">
      <c r="A9" s="25" t="s">
        <v>225</v>
      </c>
      <c r="B9" s="26">
        <v>46274</v>
      </c>
      <c r="C9" s="27">
        <f>('Updated Sprint'!F15)-SUM(E$2:E9)</f>
        <v>30</v>
      </c>
      <c r="D9" s="12">
        <f>('Updated Sprint'!F15)*(1-(A9-1)/8)</f>
        <v>5.625</v>
      </c>
      <c r="E9" s="28">
        <v>1</v>
      </c>
    </row>
    <row r="10" spans="1:5">
      <c r="A10" s="25" t="s">
        <v>226</v>
      </c>
      <c r="B10" s="26">
        <v>46275</v>
      </c>
      <c r="C10" s="27">
        <f>('Updated Sprint'!F15)-SUM(E$2:E10)</f>
        <v>30</v>
      </c>
      <c r="D10" s="12">
        <f>('Updated Sprint'!F15)*(1-(A10-1)/8)</f>
        <v>0</v>
      </c>
      <c r="E10" s="28">
        <v>0</v>
      </c>
    </row>
    <row r="11" spans="1:5">
      <c r="B11" s="5"/>
    </row>
  </sheetData>
  <phoneticPr fontId="10"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
  <sheetViews>
    <sheetView workbookViewId="0">
      <selection activeCell="H14" sqref="H14"/>
    </sheetView>
  </sheetViews>
  <sheetFormatPr defaultRowHeight="14.4"/>
  <sheetData>
    <row r="1" spans="1:7">
      <c r="A1" s="55" t="s">
        <v>24</v>
      </c>
      <c r="B1" s="55"/>
      <c r="C1" s="55"/>
      <c r="D1" s="55"/>
      <c r="E1" s="55"/>
      <c r="F1" s="55"/>
      <c r="G1" s="55"/>
    </row>
    <row r="2" spans="1:7">
      <c r="A2" s="12" t="s">
        <v>17</v>
      </c>
      <c r="B2" s="12" t="s">
        <v>18</v>
      </c>
      <c r="C2" s="12" t="s">
        <v>19</v>
      </c>
      <c r="D2" s="12" t="s">
        <v>20</v>
      </c>
      <c r="E2" s="12" t="s">
        <v>21</v>
      </c>
      <c r="F2" s="12" t="s">
        <v>22</v>
      </c>
      <c r="G2" s="12" t="s">
        <v>23</v>
      </c>
    </row>
    <row r="3" spans="1:7">
      <c r="A3" s="12">
        <v>1</v>
      </c>
      <c r="B3" s="12">
        <v>2</v>
      </c>
      <c r="C3" s="12">
        <f>A3+B3</f>
        <v>3</v>
      </c>
      <c r="D3" s="12">
        <f t="shared" ref="D3:G3" si="0">B3+C3</f>
        <v>5</v>
      </c>
      <c r="E3" s="12">
        <f t="shared" si="0"/>
        <v>8</v>
      </c>
      <c r="F3" s="13">
        <f t="shared" si="0"/>
        <v>13</v>
      </c>
      <c r="G3" s="14">
        <f t="shared" si="0"/>
        <v>21</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 Backlog</vt:lpstr>
      <vt:lpstr>Sprint Backlog</vt:lpstr>
      <vt:lpstr>Updated Sprint</vt:lpstr>
      <vt:lpstr>Burndown Chart</vt:lpstr>
      <vt:lpstr>T Shirt sizing 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2026-09-14T04:37:27Z</dcterms:modified>
</cp:coreProperties>
</file>