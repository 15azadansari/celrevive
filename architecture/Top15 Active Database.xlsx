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elrevive\EffidermaDocs\Share Folder\"/>
    </mc:Choice>
  </mc:AlternateContent>
  <bookViews>
    <workbookView xWindow="28680" yWindow="-16320" windowWidth="29040" windowHeight="15840" firstSheet="5" activeTab="7"/>
  </bookViews>
  <sheets>
    <sheet name="Actives" sheetId="6" r:id="rId1"/>
    <sheet name="Bases" sheetId="7" r:id="rId2"/>
    <sheet name="Top 15 Actives Detail" sheetId="2" r:id="rId3"/>
    <sheet name="Compatibility" sheetId="8" r:id="rId4"/>
    <sheet name="Scoring Guide" sheetId="4" r:id="rId5"/>
    <sheet name="AI Taxonomy" sheetId="3" r:id="rId6"/>
    <sheet name="anodiam_skin_concern_detection" sheetId="9" r:id="rId7"/>
    <sheet name="anodiam_user_skin_concern_score" sheetId="10" r:id="rId8"/>
  </sheets>
  <definedNames>
    <definedName name="_xlnm._FilterDatabase" localSheetId="1" hidden="1">Bases!$A$1:$N$6</definedName>
    <definedName name="_xlnm._FilterDatabase" localSheetId="2" hidden="1">'Top 15 Actives Detail'!$A$1:$AR$16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8" l="1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8" i="8"/>
  <c r="A7" i="8"/>
  <c r="A6" i="8"/>
  <c r="A5" i="8"/>
  <c r="A4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G2" i="8"/>
  <c r="F2" i="8"/>
  <c r="E2" i="8"/>
  <c r="D2" i="8"/>
  <c r="C2" i="8"/>
</calcChain>
</file>

<file path=xl/sharedStrings.xml><?xml version="1.0" encoding="utf-8"?>
<sst xmlns="http://schemas.openxmlformats.org/spreadsheetml/2006/main" count="713" uniqueCount="507">
  <si>
    <t>Ingredient</t>
  </si>
  <si>
    <t>INCI / Composition</t>
  </si>
  <si>
    <t>Increase hydration</t>
  </si>
  <si>
    <t>Repair barrier</t>
  </si>
  <si>
    <t>Microbiome balance</t>
  </si>
  <si>
    <t>Reduce redness</t>
  </si>
  <si>
    <t>Soothe irritation</t>
  </si>
  <si>
    <t>Reduce itchiness</t>
  </si>
  <si>
    <t>Reduce sebum production</t>
  </si>
  <si>
    <t>Skin brightening</t>
  </si>
  <si>
    <t>Reduce fine lines</t>
  </si>
  <si>
    <t>Reduce wrinkle length/depth</t>
  </si>
  <si>
    <t>Jawline firming</t>
  </si>
  <si>
    <t>Increase collagen production</t>
  </si>
  <si>
    <t>Skin firming</t>
  </si>
  <si>
    <t>Reduce eye bag</t>
  </si>
  <si>
    <t>Reduce under eye dark circle</t>
  </si>
  <si>
    <t>Minimise pores - mature skin</t>
  </si>
  <si>
    <t>Minimise pores - oily skin</t>
  </si>
  <si>
    <t>Anti-blue light</t>
  </si>
  <si>
    <t>Anti-pollution</t>
  </si>
  <si>
    <t>Texture improvement</t>
  </si>
  <si>
    <t>Key claims</t>
  </si>
  <si>
    <t>Mechanism of functional action</t>
  </si>
  <si>
    <t>Evidence summary</t>
  </si>
  <si>
    <t>Usage level</t>
  </si>
  <si>
    <t>Recommended pH</t>
  </si>
  <si>
    <t>Water or oil soluble</t>
  </si>
  <si>
    <t>Natural / synthetic notes</t>
  </si>
  <si>
    <t>Source file</t>
  </si>
  <si>
    <t>Supplier</t>
  </si>
  <si>
    <t>Primary Category</t>
  </si>
  <si>
    <t>Key Benefits</t>
  </si>
  <si>
    <t>Suitable For</t>
  </si>
  <si>
    <t>Implementation Phase</t>
  </si>
  <si>
    <t>AI Tags</t>
  </si>
  <si>
    <t>Microbiome / Barrier Repair</t>
  </si>
  <si>
    <t>Phase 1</t>
  </si>
  <si>
    <t>Cell-free probiotic lysate platform; microbiome care, inner-skin solution, anti-wrinkle support and collagen synthesis.</t>
  </si>
  <si>
    <t>Low molecular weight cytosol (&lt;2 kDa) from probiotics, post-fermented with HA; designed for penetration without live-cell antagonism; supports S. epidermidis viability.</t>
  </si>
  <si>
    <t>In vitro microbiome feasibility; SKB1196 maintained/increased S. epidermidis viability; in vitro MMP-1 inhibition and collagen type I upregulation.</t>
  </si>
  <si>
    <t>Water-soluble filtrate</t>
  </si>
  <si>
    <t>ISO 16128 natural index 1.0 stated</t>
  </si>
  <si>
    <t>Microbiome / Collagen Support</t>
  </si>
  <si>
    <t>Cell-free probiotic lysate; microbiome care, collagen support and anti-wrinkle positioning.</t>
  </si>
  <si>
    <t>Sensitive, microbiome-impaired or early-ageing skin.</t>
  </si>
  <si>
    <t>microbiome, probiotic lysate, collagen, wrinkle, sensitive skin, barrier</t>
  </si>
  <si>
    <t>Evonik</t>
  </si>
  <si>
    <t>Barrier Repair / Ceramide System</t>
  </si>
  <si>
    <t>TRI-SOLVE®</t>
  </si>
  <si>
    <t>Skin barrier recovery agent; hydrating/moisturizing, restores intercellular lipids, improves barrier homeostasis.</t>
  </si>
  <si>
    <t>Patented nano-emulsion vehiculation delivers ceramide/cholesterol/trehalose into lower stratum corneum for faster barrier reconstruction and dehydration protection.</t>
  </si>
  <si>
    <t>Technical/in vitro support in brochure; nano-structure TEM average 209 nm; barrier/hydration efficacy data in deck.</t>
  </si>
  <si>
    <t>1–3%</t>
  </si>
  <si>
    <t>4.5–7.5 (10% solution)</t>
  </si>
  <si>
    <t>Dispersible viscous gel / nano-emulsion</t>
  </si>
  <si>
    <t>Mixed: trehalose/natural-like lipids; cholesterol or phytosterol version</t>
  </si>
  <si>
    <t>Barrier Repair / Ceramide Delivery</t>
  </si>
  <si>
    <t>Ceramide/cholesterol/trehalose system for strong barrier recovery and dryness/irritation support.</t>
  </si>
  <si>
    <t>Very dry, barrier-damaged, sensitive and eczema-prone skin.</t>
  </si>
  <si>
    <t>ceramide, cholesterol, barrier repair, dry skin, itch, irritation, eczema-prone</t>
  </si>
  <si>
    <t>Mibelle Biochemistry</t>
  </si>
  <si>
    <t>Ectoin® natural</t>
  </si>
  <si>
    <t>Ectoin</t>
  </si>
  <si>
    <t>Ultimate protection and repair: hydration, barrier repair, anti-inflammatory, blue light, anti-pollution, brightening and microbiome support.</t>
  </si>
  <si>
    <t>Extremolyte forms an Ectoin Hydro Complex around proteins, membranes and cells; stabilises biomolecules, lowers inflammatory stress, reduces TEWL and protects against environmental stress.</t>
  </si>
  <si>
    <t>In vivo, ex vivo and in vitro. Clinical data includes hydration/barrier repair, anti-wrinkle, irritation reduction, anti-pollution, blue light protection, brightening and microbiome support.</t>
  </si>
  <si>
    <t>0.3–2% typical; 0.5–2% in studies</t>
  </si>
  <si>
    <t>Water soluble</t>
  </si>
  <si>
    <t>100% pure and natural; made by biotechnology</t>
  </si>
  <si>
    <t>Bitop</t>
  </si>
  <si>
    <t>Barrier Protection / Environmental Defence</t>
  </si>
  <si>
    <t>Multi-functional stress-protection active for hydration, barrier repair, redness, pollution and blue-light defence.</t>
  </si>
  <si>
    <t>Sensitive, rosacea-prone, dehydrated, urban, post-procedure and barrier-impaired skin.</t>
  </si>
  <si>
    <t>ectoin, hydration, barrier, redness, pollution, blue light, sensitive skin, rosacea</t>
  </si>
  <si>
    <t>Glycoin® natural</t>
  </si>
  <si>
    <t>Glyceryl Glucoside (and) Aqua/Water</t>
  </si>
  <si>
    <t>Cell energizer; instant hydration, anti-aging, rejuvenation, blue light protection, microbiome support and brightening.</t>
  </si>
  <si>
    <t>Stress-protection molecule from resurrection plant; stabilises membranes under low hydration, boosts ATP/cell metabolism, AQP3 and growth factors.</t>
  </si>
  <si>
    <t>In vitro, in vivo and ex vivo studies: ATP, antioxidants, procollagen I, AQP3/blue light, microbiome support, hydration and brightening.</t>
  </si>
  <si>
    <t>1–5%</t>
  </si>
  <si>
    <t>100% natural, EcoCert/COSMOS, vegan</t>
  </si>
  <si>
    <t>Circadian / Energy</t>
  </si>
  <si>
    <t>Glyceryl glucoside for cellular energy, hydration, radiance and tired-skin recovery.</t>
  </si>
  <si>
    <t>Dull, tired, stressed, dehydrated and lifestyle-fatigued skin.</t>
  </si>
  <si>
    <t>energy, fatigue, hydration, radiance, sleep deprivation, dull skin</t>
  </si>
  <si>
    <t>ETERWELL™ YOUTH</t>
  </si>
  <si>
    <t>Epilobium Fleischeri Leaf/Stem Extract (and) Glycerin, Water, Citric Acid</t>
  </si>
  <si>
    <t>Senolytic longevity active; reduces appearance of wrinkles, improves elasticity, smoothness, texture and skin resilience.</t>
  </si>
  <si>
    <t>Rare alpine willowherb extract standardized in flavonoids; helps revert damage induced by excess senescent cells and improves collagen-supporting environment.</t>
  </si>
  <si>
    <t>In vitro and in vivo; supplier states boost collagen in vitro and visible wrinkle/elasticity/texture improvements in vivo.</t>
  </si>
  <si>
    <t>3.5–5.5</t>
  </si>
  <si>
    <t>100% natural origin; preservative-free</t>
  </si>
  <si>
    <t>Senescence / Skin Longevity</t>
  </si>
  <si>
    <t>Senolytic-style longevity active for firmness, wrinkles, collagen environment and youth markers.</t>
  </si>
  <si>
    <t>Mature skin, prevention-focused anti-ageing and loss of firmness.</t>
  </si>
  <si>
    <t>senescence, longevity, firmness, collagen, wrinkles, mature skin</t>
  </si>
  <si>
    <t>SYN®-COLL CB</t>
  </si>
  <si>
    <t>Palmitoyl Tripeptide-5, Aqua, Glycerin</t>
  </si>
  <si>
    <t>TGF-β boosting collagen peptide; supports collagen reserves, sculpts face/neck, refines pores and protects from UV-induced collagen degradation.</t>
  </si>
  <si>
    <t>Biomimetic palmitoyl tripeptide-5 supports TGF-β activation to stimulate and protect collagen; also shown to inhibit cytokines TNFα and IL-8 in vitro.</t>
  </si>
  <si>
    <t>In vitro and in vivo; including 55-subject half-face study with ETERWELL YOUTH combination plus collagen, pore and wrinkle assessments.</t>
  </si>
  <si>
    <t>3.0–7.0</t>
  </si>
  <si>
    <t>99.9% natural origin for product; peptide is patented/natural-origin</t>
  </si>
  <si>
    <t>Peptide / Collagen Support</t>
  </si>
  <si>
    <t>Palmitoyl tripeptide collagen peptide for wrinkles, firmness and collagen support.</t>
  </si>
  <si>
    <t>Wrinkles, loss of firmness, mature skin and neck/jawline concerns.</t>
  </si>
  <si>
    <t>peptide, collagen, wrinkles, firmness, jawline, mature skin</t>
  </si>
  <si>
    <t>Sytenol® A</t>
  </si>
  <si>
    <t>Bakuchiol</t>
  </si>
  <si>
    <t>Natural retinol alternative; anti-aging and anti-acne; improves wrinkles, skin roughness, tone, elasticity and firmness.</t>
  </si>
  <si>
    <t>Retinol-like gene modulation without retinol instability; stimulates collagen I/III/IV, supports ECM/DEJ genes, antioxidant and anti-inflammatory activity.</t>
  </si>
  <si>
    <t>In vitro gene expression, collagen stimulation and in vivo 12-week clinical study at 0.5%; published comparative retinol study.</t>
  </si>
  <si>
    <t>0.5–1.0%</t>
  </si>
  <si>
    <t>Oil soluble</t>
  </si>
  <si>
    <t>100% natural; purified &gt;95–99% bakuchiol; distinct from babchi oil</t>
  </si>
  <si>
    <t>Sytheon</t>
  </si>
  <si>
    <t>Retinol Alternative / Acne &amp; Ageing</t>
  </si>
  <si>
    <t>Bakuchiol for wrinkles, collagen, pores, sebum/acne support and texture improvement.</t>
  </si>
  <si>
    <t>Ageing, acne-prone, oily, sensitive-to-retinoids and uneven texture skin.</t>
  </si>
  <si>
    <t>bakuchiol, retinol alternative, acne, sebum, pores, wrinkles, collagen</t>
  </si>
  <si>
    <t>Water soluble/dispersible expected</t>
  </si>
  <si>
    <t>2–3%</t>
  </si>
  <si>
    <t>Expression Wrinkle Peptide</t>
  </si>
  <si>
    <t>Skin Longevity / Autophagy</t>
  </si>
  <si>
    <t>ILUMYS®</t>
  </si>
  <si>
    <t>Intensive anti-dark-spot ingredient; targets both melanin and lipofuscin accumulation for age spots and uneven tone.</t>
  </si>
  <si>
    <t>Gingerols inhibit tyrosinase/melanogenesis, reduce oxidative stress, lower inflammatory IL-8 and act on surrounding skin-cell dark spot signals.</t>
  </si>
  <si>
    <t>In tubo DPPH EC50 0.25%; in vitro IL-8 -46% at 0.03%; literature on 6/8-gingerol tyrosinase/melanin inhibition.</t>
  </si>
  <si>
    <t>Pigmentation / Age Spots</t>
  </si>
  <si>
    <t>Gingerol-based dark-spot active targeting melanin and lipofuscin, oxidative stress and inflammatory pigmentation.</t>
  </si>
  <si>
    <t>Hyperpigmentation, age spots, uneven tone and photoaged skin.</t>
  </si>
  <si>
    <t>pigmentation, age spots, dark spots, melanin, lipofuscin, uneven tone</t>
  </si>
  <si>
    <t>ENDOTHELYOL®</t>
  </si>
  <si>
    <t>Glycerin / Rosmarinyl Glucoside / Caffeoyl Glucoside / Gallyl Glucoside</t>
  </si>
  <si>
    <t>5-in-1 active control of skin redness and rosacea; controls inflammation, neovascularisation and improves skin tone.</t>
  </si>
  <si>
    <t>Plant polyphenol glucosides inhibit redness factors histamine, IL-8, PGE2, TNF-α and VEGF/neo-vessel formation.</t>
  </si>
  <si>
    <t>In vitro/in-cell data: IL-8 -67%, PGE2 -54%, TNF-α -39%, histamine -19%, VEGF reduction; clinical rosacea improvement 7–12% in 28 days; brightening +11%.</t>
  </si>
  <si>
    <t>Water/glycerin soluble</t>
  </si>
  <si>
    <t>Biotechnology-modified natural plant acids in vegetable glycerin</t>
  </si>
  <si>
    <t>Rosacea / Redness</t>
  </si>
  <si>
    <t>5-in-1 redness active controlling vascular redness, inflammation, histamine/itch, VEGF and skin tone.</t>
  </si>
  <si>
    <t>Rosacea-prone, flushing, visible redness, sensitive and irritated skin.</t>
  </si>
  <si>
    <t>rosacea, redness, flushing, VEGF, histamine, itch, sensitive skin</t>
  </si>
  <si>
    <t>Repair / Remodeling</t>
  </si>
  <si>
    <t>Vetivyne™</t>
  </si>
  <si>
    <t>Upcycled fragrance-inspired skin youth booster; improves hydration, barrier lipids, fatigue, wrinkles and firmness.</t>
  </si>
  <si>
    <t>Reactivates skin lipid synthesis across sebocytes, keratinocytes and adipocytes; boosts ceramide precursors, CERT transport, cornified envelope proteins and adipocyte volume.</t>
  </si>
  <si>
    <t>In vitro/ex vivo/proteomic and clinical data; ceramides/precursors +32–42%, CERT +124.5%, lipids +29.6%, barrier proteins +53–239%, sebum lipids +31%.</t>
  </si>
  <si>
    <t>Oil/emulsion compatible; confirm grade</t>
  </si>
  <si>
    <t>Natural/upcycled vetiver root active</t>
  </si>
  <si>
    <t>Barrier &amp; Ageing / Lipid Booster</t>
  </si>
  <si>
    <t>Upcycled vetiver active boosting skin lipids, ceramides, barrier proteins, hydration, firmness and wrinkle/fatigue appearance.</t>
  </si>
  <si>
    <t>Dry, mature, lipid-deficient, fatigued and barrier-impaired skin.</t>
  </si>
  <si>
    <t>barrier, lipids, ceramides, firmness, fatigue, wrinkles, mature skin</t>
  </si>
  <si>
    <t>Agefinity™</t>
  </si>
  <si>
    <t>3D Y reshaper; mitochondrial energy, matrix restructuring, DEJ reinforcement, deep wrinkles, neck wrinkles and age spots.</t>
  </si>
  <si>
    <t>Reprograms mitochondrial metabolism in older cells, promotes dermal matrix restructuring and collagen fibre organization; supports proteasome activity and reduces oxidized proteins.</t>
  </si>
  <si>
    <t>In vitro/ex vivo/in vivo data: ATP synthase activity up to 2.9x in mature cells; collagen fibre organisation up to 4.8x better; reticular dermis density +36%; age spot and wrinkle clinical data in dossier.</t>
  </si>
  <si>
    <t>Skin Longevity / Mitochondrial Energy</t>
  </si>
  <si>
    <t>Mannose-6-phosphate complex supporting mitochondrial energy, dermal restructuring, DEJ, deep wrinkles, neck wrinkles and age spots.</t>
  </si>
  <si>
    <t>Mature, sagging, neck/jawline, deep wrinkles and age spots.</t>
  </si>
  <si>
    <t>mitochondria, energy, longevity, deep wrinkles, neck wrinkles, age spots, firmness</t>
  </si>
  <si>
    <t>2%</t>
  </si>
  <si>
    <t>Hydration / Barrier Water Flow</t>
  </si>
  <si>
    <t>NovoRetin™</t>
  </si>
  <si>
    <t>Pistacia Lentiscus Gum/Pistacia Lentiscus (Mastic) Gum (and) Lecithin (and) Pentylene Glycol (and) Glyceryl Caprylate/Caprate (and) Caprylic/Capric Triglyceride (and) Aqua/Water</t>
  </si>
  <si>
    <t>Natural retinol alternative; boosts endogenous retinoic acid effects, improves elasticity/density, immediate lifting, pores, blemishes, sebum and texture without classic retinoid drawbacks.</t>
  </si>
  <si>
    <t>Inhibits CYP26A1 activity/expression to reduce degradation of naturally occurring retinoic acid, enhancing retinoic-acid signalling and retinol-like effects in skin.</t>
  </si>
  <si>
    <t>In vitro/RHE and clinical: CYP26A1 gene expression inhibited up to 65%; IVL gene expression +720%; 2% clinical elasticity +20.4%, density +13.8%, immediate wrinkle depth -14.0%, length -13.7%, pore volume -41.7%, blackheads -40%, sebum -11%.</t>
  </si>
  <si>
    <t>100% natural origin; plant-based mastic resin delivery system</t>
  </si>
  <si>
    <t>Mastic resin retinol alternative boosting endogenous retinoic acid; improves wrinkles, elasticity, density, pores, blemishes, sebum and texture.</t>
  </si>
  <si>
    <t>Ageing, oily, acne-prone, enlarged pores, fine lines and retinoid-sensitive customers.</t>
  </si>
  <si>
    <t>retinol alternative, pores, acne, sebum, wrinkles, texture, elasticity</t>
  </si>
  <si>
    <t>Botanical Oil / Regeneration</t>
  </si>
  <si>
    <t>Skinmimics® PRO MB</t>
  </si>
  <si>
    <t>Skin-identical lipid complex for barrier repair, moisture retention, dryness relief and sensitive-skin support.</t>
  </si>
  <si>
    <t>Replenishes stratum corneum lipid architecture with ceramide-like and cholesterol/fatty-acid components; supports lamellar barrier structure and reduces TEWL.</t>
  </si>
  <si>
    <t>Supplier technical substantiation expected; scores aligned to ceramide barrier-repair mechanism and comparable skin-identical lipid systems in the library.</t>
  </si>
  <si>
    <t>Water-dispersible lipid concentrate / emulsion-compatible; confirm final grade.</t>
  </si>
  <si>
    <t>Nature-derived/biomimetic lipid system; confirm ISO natural-origin index and exact grade.</t>
  </si>
  <si>
    <t>Ceramide-based barrier recovery, hydration support, reduced dryness and sensitive-skin reinforcement.</t>
  </si>
  <si>
    <t>Dry, sensitive, eczema-prone, barrier-impaired, post-treatment and compromised skin.</t>
  </si>
  <si>
    <t>barrier, ceramide, lipid repair, TEWL, dry skin, sensitive skin, compromised barrier</t>
  </si>
  <si>
    <t>Defensil® Plus</t>
  </si>
  <si>
    <t>Sensitive-skin soothing active for redness, irritation, itch and compromised barrier comfort.</t>
  </si>
  <si>
    <t>Botanical lipid blend rich in soothing/omega-lipid components helps rebalance inflammatory stress, reinforce barrier comfort and calm reactive skin.</t>
  </si>
  <si>
    <t>Supplier substantiation expected; widely positioned for atopic-prone, irritated and sensitive skin. Scores reflect strong soothing/anti-redness/anti-itch positioning.</t>
  </si>
  <si>
    <t>Oil-soluble / oil-dispersible botanical lipid active; confirm final grade.</t>
  </si>
  <si>
    <t>Natural botanical/lipid active; confirm certified natural-origin percentage.</t>
  </si>
  <si>
    <t>RAHN</t>
  </si>
  <si>
    <t>Sensitive Skin / Soothing / Redness</t>
  </si>
  <si>
    <t>Soothes irritation, reduces redness and itch, supports barrier comfort for reactive skin.</t>
  </si>
  <si>
    <t>Sensitive, irritated, itchy, redness-prone, eczema-prone and reactive skin.</t>
  </si>
  <si>
    <t>redness, itch, irritation, sensitive skin, reactive skin, barrier comfort, eczema-prone</t>
  </si>
  <si>
    <t>AmelioSense™</t>
  </si>
  <si>
    <t>Capsella Bursa-Pastoris Extract (and) Lecithin (and) Carnosine (and) Tocopherol (and) Silybum Marianum Fruit Extract (and) Maltodextrin (and) Aqua/Water</t>
  </si>
  <si>
    <t>Anti-redness and soothing active targeting pyroptosis, inflammation, visible blood vessels and irritated/flushed skin.</t>
  </si>
  <si>
    <t>Shepherd’s purse extract plus antioxidant liposomal complex inhibits active caspase-1/pyroptosis, reduces free radicals and lowers inflammatory markers linked to rosacea-prone skin.</t>
  </si>
  <si>
    <t>In vitro and in vivo studies: inhibits active caspase-1, reduces radicals and inflammatory gene expression; visibly reduces appearance of blood vessels, facial redness and blood flow in cheek area.</t>
  </si>
  <si>
    <t>Water-phase compatible / aqueous phase incorporation</t>
  </si>
  <si>
    <t>Botanical extract + lecithin/antioxidant complex; natural-origin percentage supplier to confirm.</t>
  </si>
  <si>
    <t>Rosacea / Redness / Neuro-Inflammation</t>
  </si>
  <si>
    <t>Reduces redness, visible vessels, blood flow, irritation and inflammatory discomfort in reactive skin.</t>
  </si>
  <si>
    <t>Rosacea-prone, flushed, irritated, reactive, sensitive and redness-prone skin.</t>
  </si>
  <si>
    <t>rosacea, redness, flushing, visible vessels, irritation, pyroptosis, sensitive skin, reactive skin</t>
  </si>
  <si>
    <t>When to use in AI matching</t>
  </si>
  <si>
    <t>Compromised barrier, dryness, eczema-prone, TEWL, sensitivity.</t>
  </si>
  <si>
    <t>Dehydration, tightness, roughness, low water reserves, dry climate.</t>
  </si>
  <si>
    <t>Sensitive, reactive, postbiotic/prebiotic needs, dysbiosis, acne-support context.</t>
  </si>
  <si>
    <t>Flushing, visible redness, rosacea-prone, vascular redness, sensitivity.</t>
  </si>
  <si>
    <t>Acne &amp; Sebum Control</t>
  </si>
  <si>
    <t>Oily skin, shine, enlarged pores in oily skin, blackheads, blemishes, C. acnes.</t>
  </si>
  <si>
    <t>Wrinkles + acne/oily skin, pores, texture, retinoid-sensitive customers.</t>
  </si>
  <si>
    <t>Prevention, mature skin, biological ageing, radiance, elasticity, healthspan.</t>
  </si>
  <si>
    <t>Mature skin, chronic inflammation, loss of firmness, senescence markers.</t>
  </si>
  <si>
    <t>Sleep deprivation, fatigue, morning dullness, lifestyle stress, puffy/tired look.</t>
  </si>
  <si>
    <t>Dark spots, melasma-like uneven tone, photoageing, lipofuscin/melanin.</t>
  </si>
  <si>
    <t>Blue Light / Environmental Protection</t>
  </si>
  <si>
    <t>Screen exposure, pollution, urban lifestyle, oxidative stress.</t>
  </si>
  <si>
    <t>Forehead/crow's feet expression lines, preventative Botox-alternative positioning.</t>
  </si>
  <si>
    <t>Stretch marks, body care, post-partum, repair/regeneration and ECM support.</t>
  </si>
  <si>
    <t>Natural oil format, dry/mature skin, glow, emolliency and repair support.</t>
  </si>
  <si>
    <t>Category Detail</t>
  </si>
  <si>
    <t>Barrier &amp; Protection</t>
  </si>
  <si>
    <t>Barrier Repair</t>
  </si>
  <si>
    <t>Microbiome</t>
  </si>
  <si>
    <t>Sensitive Skin</t>
  </si>
  <si>
    <t>Neurocosmetic</t>
  </si>
  <si>
    <t>Skin Longevity</t>
  </si>
  <si>
    <t>Senescence</t>
  </si>
  <si>
    <t>Collagen Peptide</t>
  </si>
  <si>
    <t>Pigmentation</t>
  </si>
  <si>
    <t>Rosacea</t>
  </si>
  <si>
    <t>Retinol Alternative</t>
  </si>
  <si>
    <t>Barrier &amp; Ageing</t>
  </si>
  <si>
    <t>Key Highlights</t>
  </si>
  <si>
    <t>Hydration, barrier repair, anti-pollution, anti-redness</t>
  </si>
  <si>
    <t>Ceramide replacement, barrier recovery</t>
  </si>
  <si>
    <t>Microbiome balance, barrier support</t>
  </si>
  <si>
    <t>Reduce redness, soothe irritation, reduce itch</t>
  </si>
  <si>
    <t>Reduce discomfort, stinging and itch</t>
  </si>
  <si>
    <t>Mitochondrial support, wrinkles, firmness</t>
  </si>
  <si>
    <t>Senolytic activity, firmness, rejuvenation</t>
  </si>
  <si>
    <t>Boost collagen, reduce wrinkles</t>
  </si>
  <si>
    <t>Reduce age spots and uneven tone</t>
  </si>
  <si>
    <t>Reduce vascular redness and flushing</t>
  </si>
  <si>
    <t>Wrinkles, acne, collagen stimulation</t>
  </si>
  <si>
    <t>Retinoic acid booster, pores, acne</t>
  </si>
  <si>
    <t>Ceramide/cholesterol barrier restoration</t>
  </si>
  <si>
    <t>ATP boost, hydration, radiance</t>
  </si>
  <si>
    <t>Lipids, barrier, firmness</t>
  </si>
  <si>
    <t>AI Tags 2</t>
  </si>
  <si>
    <t>barrier, redness, pollution, blue-light, sensitive</t>
  </si>
  <si>
    <t>barrier, ceramide, repair</t>
  </si>
  <si>
    <t>microbiome, barrier, sensitive</t>
  </si>
  <si>
    <t>itch, redness, sensitive</t>
  </si>
  <si>
    <t>itch, redness, reactive</t>
  </si>
  <si>
    <t>longevity, wrinkles, fatigue</t>
  </si>
  <si>
    <t>senescence, firmness, ageing</t>
  </si>
  <si>
    <t>collagen, wrinkles, firming</t>
  </si>
  <si>
    <t>dark spots, pigmentation, brightening</t>
  </si>
  <si>
    <t>rosacea, redness, flushing</t>
  </si>
  <si>
    <t>wrinkles, acne, pores</t>
  </si>
  <si>
    <t>wrinkles, pores, acne, sebum</t>
  </si>
  <si>
    <t>barrier, hydration, repair</t>
  </si>
  <si>
    <t>fatigue, hydration, radiance</t>
  </si>
  <si>
    <t>barrier, firmness, dry skin</t>
  </si>
  <si>
    <t>Primary Skin Concerns Covered</t>
  </si>
  <si>
    <t>Barrier, Redness, Pollution Protection, Hydration</t>
  </si>
  <si>
    <t>Barrier Repair, Sensitive Skin, Dry Skin</t>
  </si>
  <si>
    <t>Microbiome, Barrier Repair, Sensitive Skin</t>
  </si>
  <si>
    <t>Redness, Itch, Sensitive Skin</t>
  </si>
  <si>
    <t>Neurogenic Redness, Itch, Reactive Skin</t>
  </si>
  <si>
    <t>Longevity, Wrinkles, Firmness</t>
  </si>
  <si>
    <t>Senescence, Firmness, Rejuvenation</t>
  </si>
  <si>
    <t>Collagen, Wrinkles, Firmness</t>
  </si>
  <si>
    <t>Pigmentation, Age Spots, Brightening</t>
  </si>
  <si>
    <t>Rosacea, Redness, Flushing</t>
  </si>
  <si>
    <t>Wrinkles, Acne, Pores</t>
  </si>
  <si>
    <t>Wrinkles, Acne, Sebum, Pores</t>
  </si>
  <si>
    <t>Barrier Repair, Dry Skin, Hydration</t>
  </si>
  <si>
    <t>Hydration, Fatigue, Radiance</t>
  </si>
  <si>
    <t>Barrier, Firmness, Mature Skin</t>
  </si>
  <si>
    <t>Givaudan</t>
  </si>
  <si>
    <t>Sinerga</t>
  </si>
  <si>
    <t>Trehalose, Cholesterol, Ceramide NS, Hydrogenated Lecithin</t>
  </si>
  <si>
    <t>Ceramide EOP; Ceramide NP; Ceramide NS; Ceramide AP; Cholesterol; Behenic Acid; Polyglyceryl
10 Stearate; Polyglyceryl-6 Behenate; Glycerin; Cetearyl Alcohol; Glyceryl Stearate; Sodium Cetearyl
Sulfate; Triethyl Citrate; Lactic Acid; Aqua</t>
  </si>
  <si>
    <t>Greentech Biotechnologies</t>
  </si>
  <si>
    <t>Zingiber officinale (ginger) root extract, Triheptanoin</t>
  </si>
  <si>
    <t>SK Bioland</t>
  </si>
  <si>
    <t>Glycerine, Lactobacillus Ferment Lysate, Sodium Hyaluronate</t>
  </si>
  <si>
    <t>Octyldodecanol, Ribes Nig rum (Black Currant) Seed Oil, Helianthus Annuus (Sun flower) Seed Oil Unsaponifiables, Cardiospermum Halica cabum Flower/Leaf/Vine Extract, Tocopherol, Helianthus Annuus (Sunflower) Seed Oil, Rosmarinus Officinalis (Rosemary) Leaf Extract</t>
  </si>
  <si>
    <t>Glycerin, Water, Sodium Mannose Phosphate, Mannose</t>
  </si>
  <si>
    <t>Vegetal-source green chemistry complex; Plant &amp; biotechnology origin</t>
  </si>
  <si>
    <t>Appearance</t>
  </si>
  <si>
    <t>Clear liquid</t>
  </si>
  <si>
    <t>0.1% to 4%, 4% in many ex vivo studies</t>
  </si>
  <si>
    <t>2 to 8</t>
  </si>
  <si>
    <t>Phase to add</t>
  </si>
  <si>
    <t>Water phase at end</t>
  </si>
  <si>
    <t>Agefinity.pdf; Agefinity™_TLV20190409.pdf; RMIP V10 - AGEFINITY - 34161 - 20190322.pdf</t>
  </si>
  <si>
    <t>Add below 40°C in cooling phase; short exposure up to 60°C acceptable</t>
  </si>
  <si>
    <t>Oil phase formulation</t>
  </si>
  <si>
    <t>Emulsion/oil-phase compatible.</t>
  </si>
  <si>
    <t>1–5%, 3% recommended</t>
  </si>
  <si>
    <t>Thermal stability to 40 degrees C</t>
  </si>
  <si>
    <t>Transparent Light yellow liquid</t>
  </si>
  <si>
    <t>Dermabiotics GN</t>
  </si>
  <si>
    <t>Water soluble, soluble in glycerol &amp; propylene glycol</t>
  </si>
  <si>
    <t>1 to 9</t>
  </si>
  <si>
    <t>White powder</t>
  </si>
  <si>
    <t>19_SOFW_Ectoin fights pollution induced skin pigmentation _EN.pdf; 22_Ectoin_natural_Factsheet_bitop AG_44p.pdf; Ectoin TDS.pdf</t>
  </si>
  <si>
    <t>DERMABIOTICS v. 1.0..pdf; DERMABIOTICS SKB1196 GN - COMPOSITION copy.pdf; Dermabiotics PowerPoint.pdf</t>
  </si>
  <si>
    <t>34148 ENDOTHELYOL Technical Data Sheet 20240320.pdf; Active Beauty_Endothelyol_TPV171211.pdf; ENDOTHELYOL-2.pdf; SF_Endothelyol_10072018.pdf</t>
  </si>
  <si>
    <t>0.25–2.5%; 2% clinical</t>
  </si>
  <si>
    <t>Clear amber solution</t>
  </si>
  <si>
    <t>Use at pH of 6.5 and lower</t>
  </si>
  <si>
    <t>Incoproprate at temperature below 45 Degrees C</t>
  </si>
  <si>
    <t>Liquid</t>
  </si>
  <si>
    <t>clear, colourless liquid</t>
  </si>
  <si>
    <t>0.5-2%</t>
  </si>
  <si>
    <t>ILUMYS.pdf</t>
  </si>
  <si>
    <t>Botanical gingerol extract - 100% natural origin</t>
  </si>
  <si>
    <t>Add during cooling below 40°C. For cold processes dissolves in the aqeous phase</t>
  </si>
  <si>
    <t>SKINMIMICS PRO - PDR .pdf; SKINMIMICS PRO MB_TI_A0323.pdf</t>
  </si>
  <si>
    <t>Low viscous liquid</t>
  </si>
  <si>
    <t>Can be cold processed. Add during cooling process under 40 degrees C</t>
  </si>
  <si>
    <t>0.5–5%. Recommend 2%</t>
  </si>
  <si>
    <t>Avoid combining with copper or iron ions or use Disoodium EDTA 0.1% or other chelating agent</t>
  </si>
  <si>
    <t>Incompatibilities</t>
  </si>
  <si>
    <t>pH should be lower than 6.5 or lower than 5.5 if pottasium sorbate or sodium benzoate are used as preservatives</t>
  </si>
  <si>
    <t>Yellow to yellowish brown liquid</t>
  </si>
  <si>
    <t>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</t>
  </si>
  <si>
    <t>trisolve-brochure.pdf; Tri-Solve P TDS rev.11 0724.pdf; tri-solve-general-statements-rmi-0519.pdf; tri-solve-p-general-statements-rmi-0322.pdf; TRI-SOLVE-P-SDS.pdf</t>
  </si>
  <si>
    <t>Propanediol, Water, Vetiveria zizanoides root extract</t>
  </si>
  <si>
    <t>1-3%</t>
  </si>
  <si>
    <t>Amber liquid</t>
  </si>
  <si>
    <t>4.0–7.5 (stable with pH of 3 to 11), formulate with pH between 4 and 10</t>
  </si>
  <si>
    <t>Water phase at beginning or end</t>
  </si>
  <si>
    <t>1–5%; recommended 1.5% when ued with ETERWELL YOUTH 1.0%</t>
  </si>
  <si>
    <t>1–3%; recommended 1.0% when ued with SYN-COLL 1.5%</t>
  </si>
  <si>
    <t>DSM-Firmenich</t>
  </si>
  <si>
    <t>Ingredient scoring sheet — assumptions</t>
  </si>
  <si>
    <t>Scores are directional 0–20 based on the supplied supplier PDFs and extracted evidence. 0 = no clear claimed function in provided material; 20 = strongest direct support among this ingredient set.</t>
  </si>
  <si>
    <t>Scores should be reviewed against final supplier TDS/SDS, regulatory claim wording, and finished-formula efficacy before commercial use.</t>
  </si>
  <si>
    <t>Evidence types are reported from the provided files only: in vivo, ex vivo, in vitro, instrumental, consumer study, or supplier technical data.</t>
  </si>
  <si>
    <t>Natural/synthetic is expressed as the supplier positioning or composition note where visible; exact ISO 16128 natural origin values should be confirmed with supplier documentation.</t>
  </si>
  <si>
    <t>Prepared: 2026-06-15</t>
  </si>
  <si>
    <t>4.0–6.0</t>
  </si>
  <si>
    <t>#</t>
  </si>
  <si>
    <t>Name</t>
  </si>
  <si>
    <t>Active 16</t>
  </si>
  <si>
    <t>Active 17</t>
  </si>
  <si>
    <t>Active 18</t>
  </si>
  <si>
    <t>Active 19</t>
  </si>
  <si>
    <t>Active 20</t>
  </si>
  <si>
    <t>Ages</t>
  </si>
  <si>
    <t>Skin Type</t>
  </si>
  <si>
    <t>Skin Moisture</t>
  </si>
  <si>
    <t>Acne Suitable</t>
  </si>
  <si>
    <t>Retinoid</t>
  </si>
  <si>
    <t>Sesnory Preference</t>
  </si>
  <si>
    <t>pH</t>
  </si>
  <si>
    <t>spreadability</t>
  </si>
  <si>
    <t>Light Lotion</t>
  </si>
  <si>
    <t>18-35</t>
  </si>
  <si>
    <t>Oily/Combination</t>
  </si>
  <si>
    <t>Yes</t>
  </si>
  <si>
    <t>Moisturiser</t>
  </si>
  <si>
    <t>Normal</t>
  </si>
  <si>
    <t>No</t>
  </si>
  <si>
    <t>Cream</t>
  </si>
  <si>
    <t>35+</t>
  </si>
  <si>
    <t>Dry</t>
  </si>
  <si>
    <t>Serum</t>
  </si>
  <si>
    <t>All Ages</t>
  </si>
  <si>
    <t>Oil</t>
  </si>
  <si>
    <t>BASES</t>
  </si>
  <si>
    <t>ACTIVES</t>
  </si>
  <si>
    <t>Cost per gram</t>
  </si>
  <si>
    <t>Brochure_AmelioSense.pdf; PPT_AmelioSense.pdf; AmelioSense Datasheet.pdf</t>
  </si>
  <si>
    <t xml:space="preserve">Normal skin </t>
  </si>
  <si>
    <t>pd_marketing_leaflet_defensil-plus_summary_enp000001877.pdf; Defensil Plus.pdf; DEFENSIL-PLUS Datasheet.pdf</t>
  </si>
  <si>
    <t>Dermabiotics HDB1196 GN</t>
  </si>
  <si>
    <t>ETERWELL YOUTH customer presentation 2024.pdf; ETERWELL-YOUTH_Teaser_2024Mar.pdf; ETERWELL™ YOUTH Datasheet.pdf</t>
  </si>
  <si>
    <t>22_Glycoin_natural_Factsheet_bitop AG_24p.pdf; Publication_EuroCosmetics Glycoin natural_Bitop_final.pdf; Glycoin® Natural Datasheet.pdf</t>
  </si>
  <si>
    <t>$</t>
  </si>
  <si>
    <t>$$</t>
  </si>
  <si>
    <t>$$$</t>
  </si>
  <si>
    <t>$$$$</t>
  </si>
  <si>
    <t>Brochure_NovoRetin.pdf; PPT_NovoRetin.pdf; NovoRetin.pdf</t>
  </si>
  <si>
    <t>All Skin Type</t>
  </si>
  <si>
    <t>Dry / Mature</t>
  </si>
  <si>
    <t>ETERWELL__YOUTH___SYN_-COLL_CB_presentation_10.2025[58888].pdf; SYN®-COLL Datasheet.pdf</t>
  </si>
  <si>
    <t>Normal to Slightly Oily</t>
  </si>
  <si>
    <t>All Moisture Levels</t>
  </si>
  <si>
    <t>Active Beauty Leaflet_Vetivyne™_TLV180322.pdf; Active Beauty Presentation_Vetivyne™_TPV180410; Vetivyne.pdf</t>
  </si>
  <si>
    <t>TBC</t>
  </si>
  <si>
    <t>Medium viscosity, balanced emolliency, moderate substantivity, non-greasy finish</t>
  </si>
  <si>
    <t>High viscosity, high emolliency, increased substantivity, enhanced occlusivity</t>
  </si>
  <si>
    <t>Low viscosity, rapid absorption, minimal residue, high spreadability</t>
  </si>
  <si>
    <t>High slip, high lubricity, lipid-rich, prolonged emolliency, occlusive finish</t>
  </si>
  <si>
    <t>4-6</t>
  </si>
  <si>
    <t>low viscosity, fast-absorbing, non-occlusive, low residue</t>
  </si>
  <si>
    <t>High</t>
  </si>
  <si>
    <t>Medium-High</t>
  </si>
  <si>
    <t>Medium</t>
  </si>
  <si>
    <t>Very High</t>
  </si>
  <si>
    <t xml:space="preserve">Active Compatibility </t>
  </si>
  <si>
    <t xml:space="preserve">Water/Oil soluble </t>
  </si>
  <si>
    <t>Oil Soluble</t>
  </si>
  <si>
    <t xml:space="preserve">Climate </t>
  </si>
  <si>
    <t>Hot</t>
  </si>
  <si>
    <t>Moderate</t>
  </si>
  <si>
    <t xml:space="preserve">Cold </t>
  </si>
  <si>
    <t>Any</t>
  </si>
  <si>
    <t xml:space="preserve">Layering </t>
  </si>
  <si>
    <t>Excellent</t>
  </si>
  <si>
    <t>Good</t>
  </si>
  <si>
    <t>Fair</t>
  </si>
  <si>
    <t>Occlusivity</t>
  </si>
  <si>
    <t>Low</t>
  </si>
  <si>
    <t xml:space="preserve">Medium </t>
  </si>
  <si>
    <t>Very Low</t>
  </si>
  <si>
    <t>X</t>
  </si>
  <si>
    <t>SytheonRosacea / Redness</t>
  </si>
  <si>
    <t>Photo must also capture skin type</t>
  </si>
  <si>
    <t>Skin type and sensory preference to be considered to choose the base</t>
  </si>
  <si>
    <t>Notes</t>
  </si>
  <si>
    <t>Allergy from Questionnaire</t>
  </si>
  <si>
    <t>Severity</t>
  </si>
  <si>
    <t>Severity to be calculated by AI Analysis</t>
  </si>
  <si>
    <t>Active gms per 100gms of base (Lindsay to provide a data sheet) We will use severity later.</t>
  </si>
  <si>
    <t>Pick an active/ Actives to pick the top 3 skin issues for an user</t>
  </si>
  <si>
    <t>Identified by</t>
  </si>
  <si>
    <t>Questionnaire</t>
  </si>
  <si>
    <t>Senescence (Questionnaire) / Inflammaging (Image)</t>
  </si>
  <si>
    <t>Questionnaire + Image</t>
  </si>
  <si>
    <t>Image</t>
  </si>
  <si>
    <t>Grams per 100g total active + base</t>
  </si>
  <si>
    <t>skin_concern_id</t>
  </si>
  <si>
    <t>skin_concern_name</t>
  </si>
  <si>
    <t>Dry Skin</t>
  </si>
  <si>
    <t>Dehydrated Skin</t>
  </si>
  <si>
    <t>Compromised Skin Barrier</t>
  </si>
  <si>
    <t>Redness</t>
  </si>
  <si>
    <t>Itching / Irritation</t>
  </si>
  <si>
    <t>Reactive Skin</t>
  </si>
  <si>
    <t>Acne</t>
  </si>
  <si>
    <t>Breakouts / Blemishes</t>
  </si>
  <si>
    <t>Excess Sebum (Oily Skin)</t>
  </si>
  <si>
    <t>Enlarged Pores</t>
  </si>
  <si>
    <t>Blackheads / Comedones</t>
  </si>
  <si>
    <t>Fine Lines</t>
  </si>
  <si>
    <t>Wrinkles</t>
  </si>
  <si>
    <t>Expression Lines</t>
  </si>
  <si>
    <t>Loss of Firmness</t>
  </si>
  <si>
    <t>Mature Skin</t>
  </si>
  <si>
    <t>Uneven Skin Tone</t>
  </si>
  <si>
    <t>Hyperpigmentation</t>
  </si>
  <si>
    <t>Age Spots</t>
  </si>
  <si>
    <t>Melasma-like Pigmentation</t>
  </si>
  <si>
    <t>Dullness / Poor Radiance</t>
  </si>
  <si>
    <t>Fatigued Skin</t>
  </si>
  <si>
    <t>Photoaging</t>
  </si>
  <si>
    <t>Environmental Skin Stress</t>
  </si>
  <si>
    <t>Blue Light Exposure Risk</t>
  </si>
  <si>
    <t>Microbiome Imbalance Risk</t>
  </si>
  <si>
    <t>Chronic Skin Inflammation Risk</t>
  </si>
  <si>
    <t>Skin Ageing / Longevity Risk</t>
  </si>
  <si>
    <t>Stretch Marks</t>
  </si>
  <si>
    <t>Scar / Repair Needs</t>
  </si>
  <si>
    <t>detectable_by_questionnaire</t>
  </si>
  <si>
    <t>detectable_by_selfie</t>
  </si>
  <si>
    <t>SC0001</t>
  </si>
  <si>
    <t>SC0002</t>
  </si>
  <si>
    <t>SC0003</t>
  </si>
  <si>
    <t>SC0004</t>
  </si>
  <si>
    <t>SC0005</t>
  </si>
  <si>
    <t>SC0006</t>
  </si>
  <si>
    <t>SC0007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</si>
  <si>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</si>
  <si>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</si>
  <si>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</si>
  <si>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</si>
  <si>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</si>
  <si>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</si>
  <si>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</si>
  <si>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</si>
  <si>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</si>
  <si>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SC0017</t>
  </si>
  <si>
    <t>SC0018</t>
  </si>
  <si>
    <t>SC0019</t>
  </si>
  <si>
    <t>SC1001</t>
  </si>
  <si>
    <t>SC1002</t>
  </si>
  <si>
    <t>SC1003</t>
  </si>
  <si>
    <t>SC1004</t>
  </si>
  <si>
    <t>SC1005</t>
  </si>
  <si>
    <t>SC1006</t>
  </si>
  <si>
    <t>SC1007</t>
  </si>
  <si>
    <t>SC1008</t>
  </si>
  <si>
    <t>SC1009</t>
  </si>
  <si>
    <t>SC2001</t>
  </si>
  <si>
    <t>SC2002</t>
  </si>
  <si>
    <t>SC2003</t>
  </si>
  <si>
    <t>SC2004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</si>
</sst>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6"/>
      <color rgb="FF0F766E"/>
      <name val="Carlito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1" applyFont="1" applyFill="1" applyAlignment="1">
      <alignment horizontal="center" wrapText="1"/>
    </xf>
    <xf numFmtId="0" fontId="1" fillId="0" borderId="0" xfId="1"/>
    <xf numFmtId="0" fontId="1" fillId="0" borderId="0" xfId="1" applyAlignment="1">
      <alignment wrapText="1"/>
    </xf>
    <xf numFmtId="10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1" applyFont="1" applyFill="1" applyAlignment="1">
      <alignment horizontal="center"/>
    </xf>
    <xf numFmtId="0" fontId="4" fillId="0" borderId="0" xfId="2"/>
    <xf numFmtId="0" fontId="0" fillId="0" borderId="1" xfId="0" applyBorder="1"/>
    <xf numFmtId="0" fontId="0" fillId="0" borderId="1" xfId="0" applyBorder="1" applyAlignment="1">
      <alignment textRotation="90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quotePrefix="1" applyBorder="1"/>
    <xf numFmtId="16" fontId="0" fillId="0" borderId="1" xfId="0" quotePrefix="1" applyNumberFormat="1" applyBorder="1"/>
    <xf numFmtId="0" fontId="1" fillId="3" borderId="0" xfId="1" applyFill="1" applyAlignment="1">
      <alignment wrapText="1"/>
    </xf>
    <xf numFmtId="0" fontId="7" fillId="2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ETERWELL%20YOUTH" TargetMode="External"/><Relationship Id="rId13" Type="http://schemas.openxmlformats.org/officeDocument/2006/relationships/hyperlink" Target="TRI-SOLVE" TargetMode="External"/><Relationship Id="rId3" Type="http://schemas.openxmlformats.org/officeDocument/2006/relationships/hyperlink" Target="SkinMimics" TargetMode="External"/><Relationship Id="rId7" Type="http://schemas.openxmlformats.org/officeDocument/2006/relationships/hyperlink" Target="Agefinity" TargetMode="External"/><Relationship Id="rId12" Type="http://schemas.openxmlformats.org/officeDocument/2006/relationships/hyperlink" Target="NovoRetin" TargetMode="External"/><Relationship Id="rId2" Type="http://schemas.openxmlformats.org/officeDocument/2006/relationships/hyperlink" Target="Ectoi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ILUMYS/ILUMYS.pdf" TargetMode="External"/><Relationship Id="rId6" Type="http://schemas.openxmlformats.org/officeDocument/2006/relationships/hyperlink" Target="AmelioSense" TargetMode="External"/><Relationship Id="rId11" Type="http://schemas.openxmlformats.org/officeDocument/2006/relationships/hyperlink" Target="Sytenol%20A" TargetMode="External"/><Relationship Id="rId5" Type="http://schemas.openxmlformats.org/officeDocument/2006/relationships/hyperlink" Target="Defensil%20Plus" TargetMode="External"/><Relationship Id="rId15" Type="http://schemas.openxmlformats.org/officeDocument/2006/relationships/hyperlink" Target="Vetivyne" TargetMode="External"/><Relationship Id="rId10" Type="http://schemas.openxmlformats.org/officeDocument/2006/relationships/hyperlink" Target="ENDOTHELYOL" TargetMode="External"/><Relationship Id="rId4" Type="http://schemas.openxmlformats.org/officeDocument/2006/relationships/hyperlink" Target="Dermabiotics" TargetMode="External"/><Relationship Id="rId9" Type="http://schemas.openxmlformats.org/officeDocument/2006/relationships/hyperlink" Target="SYN-COLL%20CB/ETERWELL__YOUTH___SYN_-COLL_CB_presentation_10.2025%5b58888%5d.pdf" TargetMode="External"/><Relationship Id="rId14" Type="http://schemas.openxmlformats.org/officeDocument/2006/relationships/hyperlink" Target="Glycoin%20natura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125" workbookViewId="0">
      <selection activeCell="B16" sqref="B2:B16"/>
    </sheetView>
  </sheetViews>
  <sheetFormatPr defaultColWidth="8.8125" defaultRowHeight="13.5"/>
  <cols>
    <col min="2" max="2" width="21" customWidth="1"/>
    <col min="3" max="3" width="23.1875" bestFit="1" customWidth="1"/>
    <col min="4" max="4" width="12.0625" bestFit="1" customWidth="1"/>
  </cols>
  <sheetData>
    <row r="1" spans="1:4">
      <c r="A1" t="s">
        <v>350</v>
      </c>
      <c r="B1" t="s">
        <v>351</v>
      </c>
      <c r="C1" t="s">
        <v>30</v>
      </c>
      <c r="D1" t="s">
        <v>380</v>
      </c>
    </row>
    <row r="2" spans="1:4">
      <c r="B2" t="s">
        <v>62</v>
      </c>
      <c r="C2" t="s">
        <v>70</v>
      </c>
      <c r="D2" t="s">
        <v>398</v>
      </c>
    </row>
    <row r="3" spans="1:4">
      <c r="B3" t="s">
        <v>175</v>
      </c>
      <c r="C3" t="s">
        <v>47</v>
      </c>
      <c r="D3" t="s">
        <v>398</v>
      </c>
    </row>
    <row r="4" spans="1:4">
      <c r="B4" t="s">
        <v>308</v>
      </c>
      <c r="C4" t="s">
        <v>290</v>
      </c>
      <c r="D4" t="s">
        <v>398</v>
      </c>
    </row>
    <row r="5" spans="1:4">
      <c r="B5" t="s">
        <v>184</v>
      </c>
      <c r="C5" t="s">
        <v>190</v>
      </c>
      <c r="D5" t="s">
        <v>398</v>
      </c>
    </row>
    <row r="6" spans="1:4">
      <c r="B6" t="s">
        <v>195</v>
      </c>
      <c r="C6" t="s">
        <v>61</v>
      </c>
      <c r="D6" t="s">
        <v>398</v>
      </c>
    </row>
    <row r="7" spans="1:4">
      <c r="B7" t="s">
        <v>155</v>
      </c>
      <c r="C7" t="s">
        <v>284</v>
      </c>
      <c r="D7" t="s">
        <v>398</v>
      </c>
    </row>
    <row r="8" spans="1:4">
      <c r="B8" t="s">
        <v>86</v>
      </c>
      <c r="C8" t="s">
        <v>342</v>
      </c>
      <c r="D8" t="s">
        <v>398</v>
      </c>
    </row>
    <row r="9" spans="1:4">
      <c r="B9" t="s">
        <v>97</v>
      </c>
      <c r="C9" t="s">
        <v>342</v>
      </c>
      <c r="D9" t="s">
        <v>398</v>
      </c>
    </row>
    <row r="10" spans="1:4">
      <c r="B10" t="s">
        <v>125</v>
      </c>
      <c r="C10" t="s">
        <v>288</v>
      </c>
      <c r="D10" t="s">
        <v>398</v>
      </c>
    </row>
    <row r="11" spans="1:4">
      <c r="B11" t="s">
        <v>133</v>
      </c>
      <c r="C11" t="s">
        <v>284</v>
      </c>
      <c r="D11" t="s">
        <v>398</v>
      </c>
    </row>
    <row r="12" spans="1:4">
      <c r="B12" t="s">
        <v>108</v>
      </c>
      <c r="C12" t="s">
        <v>116</v>
      </c>
      <c r="D12" t="s">
        <v>398</v>
      </c>
    </row>
    <row r="13" spans="1:4">
      <c r="B13" t="s">
        <v>165</v>
      </c>
      <c r="C13" t="s">
        <v>61</v>
      </c>
      <c r="D13" t="s">
        <v>398</v>
      </c>
    </row>
    <row r="14" spans="1:4">
      <c r="B14" t="s">
        <v>49</v>
      </c>
      <c r="C14" t="s">
        <v>285</v>
      </c>
      <c r="D14" t="s">
        <v>398</v>
      </c>
    </row>
    <row r="15" spans="1:4">
      <c r="B15" t="s">
        <v>75</v>
      </c>
      <c r="C15" t="s">
        <v>70</v>
      </c>
      <c r="D15" t="s">
        <v>398</v>
      </c>
    </row>
    <row r="16" spans="1:4">
      <c r="B16" t="s">
        <v>145</v>
      </c>
      <c r="C16" t="s">
        <v>284</v>
      </c>
      <c r="D16" t="s">
        <v>398</v>
      </c>
    </row>
    <row r="17" spans="2:2">
      <c r="B17" t="s">
        <v>352</v>
      </c>
    </row>
    <row r="18" spans="2:2">
      <c r="B18" t="s">
        <v>353</v>
      </c>
    </row>
    <row r="19" spans="2:2">
      <c r="B19" t="s">
        <v>354</v>
      </c>
    </row>
    <row r="20" spans="2:2">
      <c r="B20" t="s">
        <v>355</v>
      </c>
    </row>
    <row r="21" spans="2:2">
      <c r="B21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B5" sqref="B5"/>
    </sheetView>
  </sheetViews>
  <sheetFormatPr defaultColWidth="8.8125" defaultRowHeight="13.5"/>
  <cols>
    <col min="1" max="1" width="13.375" customWidth="1"/>
    <col min="2" max="2" width="12.625" bestFit="1" customWidth="1"/>
    <col min="4" max="4" width="15.8125" bestFit="1" customWidth="1"/>
    <col min="5" max="5" width="23.625" customWidth="1"/>
    <col min="6" max="6" width="12.375" bestFit="1" customWidth="1"/>
    <col min="8" max="8" width="31.1875" style="11" customWidth="1"/>
    <col min="10" max="10" width="14.625" customWidth="1"/>
    <col min="11" max="11" width="19.625" customWidth="1"/>
    <col min="12" max="12" width="13.1875" customWidth="1"/>
    <col min="13" max="13" width="16.4375" customWidth="1"/>
    <col min="14" max="14" width="14.1875" customWidth="1"/>
  </cols>
  <sheetData>
    <row r="1" spans="1:14">
      <c r="A1" s="9" t="s">
        <v>351</v>
      </c>
      <c r="B1" s="9" t="s">
        <v>380</v>
      </c>
      <c r="C1" s="9" t="s">
        <v>357</v>
      </c>
      <c r="D1" s="9" t="s">
        <v>358</v>
      </c>
      <c r="E1" s="9" t="s">
        <v>359</v>
      </c>
      <c r="F1" s="9" t="s">
        <v>360</v>
      </c>
      <c r="G1" s="9" t="s">
        <v>361</v>
      </c>
      <c r="H1" s="13" t="s">
        <v>362</v>
      </c>
      <c r="I1" s="9" t="s">
        <v>363</v>
      </c>
      <c r="J1" s="9" t="s">
        <v>364</v>
      </c>
      <c r="K1" s="9" t="s">
        <v>409</v>
      </c>
      <c r="L1" s="9" t="s">
        <v>412</v>
      </c>
      <c r="M1" s="9" t="s">
        <v>417</v>
      </c>
      <c r="N1" s="9" t="s">
        <v>421</v>
      </c>
    </row>
    <row r="2" spans="1:14" ht="27">
      <c r="A2" s="9" t="s">
        <v>365</v>
      </c>
      <c r="B2" s="9" t="s">
        <v>387</v>
      </c>
      <c r="C2" s="14" t="s">
        <v>366</v>
      </c>
      <c r="D2" s="9" t="s">
        <v>367</v>
      </c>
      <c r="E2" s="9" t="s">
        <v>395</v>
      </c>
      <c r="F2" s="9" t="s">
        <v>368</v>
      </c>
      <c r="G2" s="9" t="s">
        <v>371</v>
      </c>
      <c r="H2" s="13" t="s">
        <v>404</v>
      </c>
      <c r="I2" s="15" t="s">
        <v>403</v>
      </c>
      <c r="J2" s="9" t="s">
        <v>405</v>
      </c>
      <c r="K2" s="9" t="s">
        <v>410</v>
      </c>
      <c r="L2" s="9" t="s">
        <v>413</v>
      </c>
      <c r="M2" s="9" t="s">
        <v>418</v>
      </c>
      <c r="N2" s="9" t="s">
        <v>422</v>
      </c>
    </row>
    <row r="3" spans="1:14" ht="40.5">
      <c r="A3" s="9" t="s">
        <v>369</v>
      </c>
      <c r="B3" s="9" t="s">
        <v>388</v>
      </c>
      <c r="C3" s="14" t="s">
        <v>366</v>
      </c>
      <c r="D3" s="9" t="s">
        <v>382</v>
      </c>
      <c r="E3" s="9" t="s">
        <v>370</v>
      </c>
      <c r="F3" s="9" t="s">
        <v>368</v>
      </c>
      <c r="G3" s="9" t="s">
        <v>371</v>
      </c>
      <c r="H3" s="13" t="s">
        <v>399</v>
      </c>
      <c r="I3" s="15" t="s">
        <v>403</v>
      </c>
      <c r="J3" s="9" t="s">
        <v>406</v>
      </c>
      <c r="K3" s="9" t="s">
        <v>410</v>
      </c>
      <c r="L3" s="9" t="s">
        <v>414</v>
      </c>
      <c r="M3" s="9" t="s">
        <v>419</v>
      </c>
      <c r="N3" s="9" t="s">
        <v>423</v>
      </c>
    </row>
    <row r="4" spans="1:14" ht="40.5">
      <c r="A4" s="9" t="s">
        <v>372</v>
      </c>
      <c r="B4" s="9" t="s">
        <v>389</v>
      </c>
      <c r="C4" s="14" t="s">
        <v>373</v>
      </c>
      <c r="D4" s="9" t="s">
        <v>393</v>
      </c>
      <c r="E4" s="9" t="s">
        <v>374</v>
      </c>
      <c r="F4" s="9" t="s">
        <v>371</v>
      </c>
      <c r="G4" s="9" t="s">
        <v>368</v>
      </c>
      <c r="H4" s="13" t="s">
        <v>400</v>
      </c>
      <c r="I4" s="15" t="s">
        <v>403</v>
      </c>
      <c r="J4" s="9" t="s">
        <v>407</v>
      </c>
      <c r="K4" s="9" t="s">
        <v>410</v>
      </c>
      <c r="L4" s="9" t="s">
        <v>415</v>
      </c>
      <c r="M4" s="9" t="s">
        <v>420</v>
      </c>
      <c r="N4" s="9" t="s">
        <v>405</v>
      </c>
    </row>
    <row r="5" spans="1:14" ht="27">
      <c r="A5" s="9" t="s">
        <v>375</v>
      </c>
      <c r="B5" s="9" t="s">
        <v>390</v>
      </c>
      <c r="C5" s="9" t="s">
        <v>376</v>
      </c>
      <c r="D5" s="9" t="s">
        <v>392</v>
      </c>
      <c r="E5" s="9" t="s">
        <v>396</v>
      </c>
      <c r="F5" s="9" t="s">
        <v>368</v>
      </c>
      <c r="G5" s="9" t="s">
        <v>368</v>
      </c>
      <c r="H5" s="13" t="s">
        <v>401</v>
      </c>
      <c r="I5" s="15" t="s">
        <v>403</v>
      </c>
      <c r="J5" s="9" t="s">
        <v>408</v>
      </c>
      <c r="K5" s="9" t="s">
        <v>410</v>
      </c>
      <c r="L5" s="9" t="s">
        <v>416</v>
      </c>
      <c r="M5" s="9" t="s">
        <v>418</v>
      </c>
      <c r="N5" s="9" t="s">
        <v>424</v>
      </c>
    </row>
    <row r="6" spans="1:14" ht="40.5">
      <c r="A6" s="9" t="s">
        <v>377</v>
      </c>
      <c r="B6" s="9" t="s">
        <v>390</v>
      </c>
      <c r="C6" s="9" t="s">
        <v>373</v>
      </c>
      <c r="D6" s="9" t="s">
        <v>393</v>
      </c>
      <c r="E6" s="9" t="s">
        <v>374</v>
      </c>
      <c r="F6" s="9" t="s">
        <v>371</v>
      </c>
      <c r="G6" s="9" t="s">
        <v>368</v>
      </c>
      <c r="H6" s="13" t="s">
        <v>402</v>
      </c>
      <c r="I6" s="15" t="s">
        <v>403</v>
      </c>
      <c r="J6" s="9" t="s">
        <v>408</v>
      </c>
      <c r="K6" s="9" t="s">
        <v>411</v>
      </c>
      <c r="L6" s="9" t="s">
        <v>415</v>
      </c>
      <c r="M6" s="9" t="s">
        <v>420</v>
      </c>
      <c r="N6" s="9" t="s">
        <v>408</v>
      </c>
    </row>
  </sheetData>
  <autoFilter ref="A1:N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3.5"/>
  <cols>
    <col min="1" max="1" width="23.1875" bestFit="1" customWidth="1"/>
    <col min="2" max="2" width="22.75" bestFit="1" customWidth="1"/>
    <col min="3" max="3" width="226" bestFit="1" customWidth="1"/>
    <col min="4" max="4" width="40.1875" bestFit="1" customWidth="1"/>
    <col min="5" max="5" width="21.0625" bestFit="1" customWidth="1"/>
    <col min="6" max="6" width="16.625" bestFit="1" customWidth="1"/>
    <col min="7" max="7" width="22.4375" bestFit="1" customWidth="1"/>
    <col min="8" max="8" width="18.875" bestFit="1" customWidth="1"/>
    <col min="9" max="9" width="18.9375" bestFit="1" customWidth="1"/>
    <col min="10" max="10" width="19.8125" bestFit="1" customWidth="1"/>
    <col min="11" max="11" width="28" bestFit="1" customWidth="1"/>
    <col min="12" max="12" width="19.25" bestFit="1" customWidth="1"/>
    <col min="13" max="13" width="19.8125" bestFit="1" customWidth="1"/>
    <col min="14" max="14" width="29.875" bestFit="1" customWidth="1"/>
    <col min="15" max="15" width="18.125" bestFit="1" customWidth="1"/>
    <col min="16" max="16" width="30.3125" bestFit="1" customWidth="1"/>
    <col min="17" max="17" width="15.3125" bestFit="1" customWidth="1"/>
    <col min="18" max="18" width="18.6875" bestFit="1" customWidth="1"/>
    <col min="19" max="19" width="30.1875" bestFit="1" customWidth="1"/>
    <col min="20" max="20" width="30.125" bestFit="1" customWidth="1"/>
    <col min="21" max="21" width="27.125" bestFit="1" customWidth="1"/>
    <col min="22" max="22" width="17.0625" bestFit="1" customWidth="1"/>
    <col min="23" max="23" width="16.625" bestFit="1" customWidth="1"/>
    <col min="24" max="24" width="23.5" bestFit="1" customWidth="1"/>
    <col min="25" max="25" width="151.8125" bestFit="1" customWidth="1"/>
    <col min="26" max="26" width="160.5625" bestFit="1" customWidth="1"/>
    <col min="27" max="27" width="205.375" bestFit="1" customWidth="1"/>
    <col min="28" max="28" width="57.4375" bestFit="1" customWidth="1"/>
    <col min="29" max="29" width="57.4375" customWidth="1"/>
    <col min="30" max="30" width="92.5625" bestFit="1" customWidth="1"/>
    <col min="31" max="31" width="26.4375" bestFit="1" customWidth="1"/>
    <col min="32" max="32" width="64.6875" bestFit="1" customWidth="1"/>
    <col min="33" max="33" width="67.75" bestFit="1" customWidth="1"/>
    <col min="34" max="34" width="76.5625" bestFit="1" customWidth="1"/>
    <col min="35" max="35" width="255.5625" bestFit="1" customWidth="1"/>
    <col min="36" max="36" width="19.9375" bestFit="1" customWidth="1"/>
    <col min="37" max="37" width="35.5625" bestFit="1" customWidth="1"/>
    <col min="38" max="38" width="42.8125" bestFit="1" customWidth="1"/>
    <col min="39" max="39" width="116" bestFit="1" customWidth="1"/>
    <col min="40" max="40" width="71.75" bestFit="1" customWidth="1"/>
    <col min="41" max="41" width="24.25" bestFit="1" customWidth="1"/>
    <col min="42" max="42" width="38.25" bestFit="1" customWidth="1"/>
    <col min="43" max="43" width="75.3125" bestFit="1" customWidth="1"/>
    <col min="44" max="44" width="78.75" bestFit="1" customWidth="1"/>
  </cols>
  <sheetData>
    <row r="1" spans="1:44" ht="13.9">
      <c r="A1" s="7" t="s">
        <v>0</v>
      </c>
      <c r="B1" s="7" t="s">
        <v>30</v>
      </c>
      <c r="C1" s="7" t="s">
        <v>1</v>
      </c>
      <c r="D1" s="7" t="s">
        <v>268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17" t="s">
        <v>440</v>
      </c>
      <c r="AD1" s="7" t="s">
        <v>26</v>
      </c>
      <c r="AE1" s="7" t="s">
        <v>295</v>
      </c>
      <c r="AF1" s="7" t="s">
        <v>27</v>
      </c>
      <c r="AG1" s="7" t="s">
        <v>299</v>
      </c>
      <c r="AH1" s="7" t="s">
        <v>28</v>
      </c>
      <c r="AI1" s="7" t="s">
        <v>29</v>
      </c>
      <c r="AJ1" s="7" t="s">
        <v>31</v>
      </c>
      <c r="AK1" s="7" t="s">
        <v>223</v>
      </c>
      <c r="AL1" s="7" t="s">
        <v>236</v>
      </c>
      <c r="AM1" s="7" t="s">
        <v>32</v>
      </c>
      <c r="AN1" s="7" t="s">
        <v>33</v>
      </c>
      <c r="AO1" s="7" t="s">
        <v>34</v>
      </c>
      <c r="AP1" s="7" t="s">
        <v>35</v>
      </c>
      <c r="AQ1" s="7" t="s">
        <v>252</v>
      </c>
      <c r="AR1" s="7" t="s">
        <v>330</v>
      </c>
    </row>
    <row r="2" spans="1:44">
      <c r="A2" t="s">
        <v>62</v>
      </c>
      <c r="B2" t="s">
        <v>70</v>
      </c>
      <c r="C2" t="s">
        <v>63</v>
      </c>
      <c r="D2" t="s">
        <v>269</v>
      </c>
      <c r="E2">
        <v>20</v>
      </c>
      <c r="F2">
        <v>19</v>
      </c>
      <c r="G2">
        <v>16</v>
      </c>
      <c r="H2">
        <v>18</v>
      </c>
      <c r="I2">
        <v>19</v>
      </c>
      <c r="J2">
        <v>18</v>
      </c>
      <c r="K2">
        <v>0</v>
      </c>
      <c r="L2">
        <v>12</v>
      </c>
      <c r="M2">
        <v>14</v>
      </c>
      <c r="N2">
        <v>13</v>
      </c>
      <c r="O2">
        <v>5</v>
      </c>
      <c r="P2">
        <v>5</v>
      </c>
      <c r="Q2">
        <v>7</v>
      </c>
      <c r="R2">
        <v>4</v>
      </c>
      <c r="S2">
        <v>5</v>
      </c>
      <c r="T2">
        <v>3</v>
      </c>
      <c r="U2">
        <v>2</v>
      </c>
      <c r="V2">
        <v>19</v>
      </c>
      <c r="W2">
        <v>20</v>
      </c>
      <c r="X2">
        <v>13</v>
      </c>
      <c r="Y2" t="s">
        <v>64</v>
      </c>
      <c r="Z2" t="s">
        <v>65</v>
      </c>
      <c r="AA2" t="s">
        <v>66</v>
      </c>
      <c r="AB2" t="s">
        <v>67</v>
      </c>
      <c r="AC2" s="18">
        <v>2</v>
      </c>
      <c r="AD2" t="s">
        <v>310</v>
      </c>
      <c r="AE2" t="s">
        <v>311</v>
      </c>
      <c r="AF2" t="s">
        <v>309</v>
      </c>
      <c r="AH2" t="s">
        <v>69</v>
      </c>
      <c r="AI2" s="8" t="s">
        <v>312</v>
      </c>
      <c r="AJ2" t="s">
        <v>224</v>
      </c>
      <c r="AK2" t="s">
        <v>71</v>
      </c>
      <c r="AL2" t="s">
        <v>237</v>
      </c>
      <c r="AM2" t="s">
        <v>72</v>
      </c>
      <c r="AN2" t="s">
        <v>73</v>
      </c>
      <c r="AO2" t="s">
        <v>37</v>
      </c>
      <c r="AP2" t="s">
        <v>253</v>
      </c>
      <c r="AQ2" t="s">
        <v>74</v>
      </c>
    </row>
    <row r="3" spans="1:44">
      <c r="A3" t="s">
        <v>175</v>
      </c>
      <c r="B3" t="s">
        <v>47</v>
      </c>
      <c r="C3" t="s">
        <v>287</v>
      </c>
      <c r="D3" t="s">
        <v>270</v>
      </c>
      <c r="E3">
        <v>17</v>
      </c>
      <c r="F3">
        <v>20</v>
      </c>
      <c r="G3">
        <v>2</v>
      </c>
      <c r="H3">
        <v>10</v>
      </c>
      <c r="I3">
        <v>12</v>
      </c>
      <c r="J3">
        <v>8</v>
      </c>
      <c r="K3">
        <v>0</v>
      </c>
      <c r="L3">
        <v>0</v>
      </c>
      <c r="M3">
        <v>8</v>
      </c>
      <c r="N3">
        <v>6</v>
      </c>
      <c r="O3">
        <v>0</v>
      </c>
      <c r="P3">
        <v>0</v>
      </c>
      <c r="Q3">
        <v>2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8</v>
      </c>
      <c r="Y3" t="s">
        <v>176</v>
      </c>
      <c r="Z3" t="s">
        <v>177</v>
      </c>
      <c r="AA3" t="s">
        <v>178</v>
      </c>
      <c r="AB3" t="s">
        <v>328</v>
      </c>
      <c r="AC3" s="18">
        <v>2</v>
      </c>
      <c r="AD3" t="s">
        <v>349</v>
      </c>
      <c r="AE3" t="s">
        <v>326</v>
      </c>
      <c r="AF3" t="s">
        <v>179</v>
      </c>
      <c r="AG3" t="s">
        <v>327</v>
      </c>
      <c r="AH3" t="s">
        <v>180</v>
      </c>
      <c r="AI3" s="8" t="s">
        <v>325</v>
      </c>
      <c r="AJ3" t="s">
        <v>225</v>
      </c>
      <c r="AK3" t="s">
        <v>48</v>
      </c>
      <c r="AL3" t="s">
        <v>238</v>
      </c>
      <c r="AM3" t="s">
        <v>181</v>
      </c>
      <c r="AN3" t="s">
        <v>182</v>
      </c>
      <c r="AO3" t="s">
        <v>37</v>
      </c>
      <c r="AP3" t="s">
        <v>254</v>
      </c>
      <c r="AQ3" t="s">
        <v>183</v>
      </c>
    </row>
    <row r="4" spans="1:44">
      <c r="A4" t="s">
        <v>384</v>
      </c>
      <c r="B4" t="s">
        <v>290</v>
      </c>
      <c r="C4" t="s">
        <v>291</v>
      </c>
      <c r="D4" t="s">
        <v>271</v>
      </c>
      <c r="E4">
        <v>10</v>
      </c>
      <c r="F4">
        <v>14</v>
      </c>
      <c r="G4">
        <v>18</v>
      </c>
      <c r="H4">
        <v>10</v>
      </c>
      <c r="I4">
        <v>12</v>
      </c>
      <c r="J4">
        <v>8</v>
      </c>
      <c r="K4">
        <v>0</v>
      </c>
      <c r="L4">
        <v>0</v>
      </c>
      <c r="M4">
        <v>14</v>
      </c>
      <c r="N4">
        <v>14</v>
      </c>
      <c r="O4">
        <v>0</v>
      </c>
      <c r="P4">
        <v>18</v>
      </c>
      <c r="Q4">
        <v>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10</v>
      </c>
      <c r="Y4" t="s">
        <v>38</v>
      </c>
      <c r="Z4" t="s">
        <v>39</v>
      </c>
      <c r="AA4" t="s">
        <v>40</v>
      </c>
      <c r="AB4" t="s">
        <v>305</v>
      </c>
      <c r="AC4" s="18">
        <v>3</v>
      </c>
      <c r="AD4" t="s">
        <v>349</v>
      </c>
      <c r="AE4" t="s">
        <v>307</v>
      </c>
      <c r="AF4" t="s">
        <v>41</v>
      </c>
      <c r="AG4" t="s">
        <v>306</v>
      </c>
      <c r="AH4" t="s">
        <v>42</v>
      </c>
      <c r="AI4" s="8" t="s">
        <v>313</v>
      </c>
      <c r="AJ4" t="s">
        <v>226</v>
      </c>
      <c r="AK4" t="s">
        <v>43</v>
      </c>
      <c r="AL4" t="s">
        <v>239</v>
      </c>
      <c r="AM4" t="s">
        <v>44</v>
      </c>
      <c r="AN4" t="s">
        <v>45</v>
      </c>
      <c r="AO4" t="s">
        <v>37</v>
      </c>
      <c r="AP4" t="s">
        <v>255</v>
      </c>
      <c r="AQ4" t="s">
        <v>46</v>
      </c>
    </row>
    <row r="5" spans="1:44">
      <c r="A5" t="s">
        <v>184</v>
      </c>
      <c r="B5" t="s">
        <v>190</v>
      </c>
      <c r="C5" t="s">
        <v>292</v>
      </c>
      <c r="D5" t="s">
        <v>272</v>
      </c>
      <c r="E5">
        <v>8</v>
      </c>
      <c r="F5">
        <v>16</v>
      </c>
      <c r="G5">
        <v>0</v>
      </c>
      <c r="H5">
        <v>18</v>
      </c>
      <c r="I5">
        <v>20</v>
      </c>
      <c r="J5">
        <v>18</v>
      </c>
      <c r="K5">
        <v>0</v>
      </c>
      <c r="L5">
        <v>0</v>
      </c>
      <c r="M5">
        <v>3</v>
      </c>
      <c r="N5">
        <v>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8</v>
      </c>
      <c r="Y5" t="s">
        <v>185</v>
      </c>
      <c r="Z5" t="s">
        <v>186</v>
      </c>
      <c r="AA5" t="s">
        <v>187</v>
      </c>
      <c r="AB5" t="s">
        <v>80</v>
      </c>
      <c r="AC5" s="18">
        <v>2</v>
      </c>
      <c r="AD5" t="s">
        <v>349</v>
      </c>
      <c r="AF5" t="s">
        <v>188</v>
      </c>
      <c r="AG5" t="s">
        <v>304</v>
      </c>
      <c r="AH5" t="s">
        <v>189</v>
      </c>
      <c r="AI5" s="8" t="s">
        <v>383</v>
      </c>
      <c r="AJ5" t="s">
        <v>227</v>
      </c>
      <c r="AK5" t="s">
        <v>191</v>
      </c>
      <c r="AL5" t="s">
        <v>240</v>
      </c>
      <c r="AM5" t="s">
        <v>192</v>
      </c>
      <c r="AN5" t="s">
        <v>193</v>
      </c>
      <c r="AO5" t="s">
        <v>37</v>
      </c>
      <c r="AP5" t="s">
        <v>256</v>
      </c>
      <c r="AQ5" t="s">
        <v>194</v>
      </c>
    </row>
    <row r="6" spans="1:44">
      <c r="A6" t="s">
        <v>195</v>
      </c>
      <c r="B6" t="s">
        <v>61</v>
      </c>
      <c r="C6" t="s">
        <v>196</v>
      </c>
      <c r="D6" t="s">
        <v>273</v>
      </c>
      <c r="E6">
        <v>4</v>
      </c>
      <c r="F6">
        <v>8</v>
      </c>
      <c r="G6">
        <v>0</v>
      </c>
      <c r="H6">
        <v>20</v>
      </c>
      <c r="I6">
        <v>20</v>
      </c>
      <c r="J6">
        <v>14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8</v>
      </c>
      <c r="X6">
        <v>8</v>
      </c>
      <c r="Y6" t="s">
        <v>197</v>
      </c>
      <c r="Z6" t="s">
        <v>198</v>
      </c>
      <c r="AA6" t="s">
        <v>199</v>
      </c>
      <c r="AB6" t="s">
        <v>163</v>
      </c>
      <c r="AC6" s="18">
        <v>2</v>
      </c>
      <c r="AD6" t="s">
        <v>349</v>
      </c>
      <c r="AF6" t="s">
        <v>200</v>
      </c>
      <c r="AG6" t="s">
        <v>302</v>
      </c>
      <c r="AH6" t="s">
        <v>201</v>
      </c>
      <c r="AI6" s="8" t="s">
        <v>381</v>
      </c>
      <c r="AJ6" t="s">
        <v>228</v>
      </c>
      <c r="AK6" t="s">
        <v>202</v>
      </c>
      <c r="AL6" t="s">
        <v>241</v>
      </c>
      <c r="AM6" t="s">
        <v>203</v>
      </c>
      <c r="AN6" t="s">
        <v>204</v>
      </c>
      <c r="AO6" t="s">
        <v>37</v>
      </c>
      <c r="AP6" t="s">
        <v>257</v>
      </c>
      <c r="AQ6" t="s">
        <v>205</v>
      </c>
    </row>
    <row r="7" spans="1:44">
      <c r="A7" t="s">
        <v>155</v>
      </c>
      <c r="B7" t="s">
        <v>284</v>
      </c>
      <c r="C7" t="s">
        <v>293</v>
      </c>
      <c r="D7" t="s">
        <v>274</v>
      </c>
      <c r="E7">
        <v>6</v>
      </c>
      <c r="F7">
        <v>8</v>
      </c>
      <c r="G7">
        <v>0</v>
      </c>
      <c r="H7">
        <v>4</v>
      </c>
      <c r="I7">
        <v>3</v>
      </c>
      <c r="J7">
        <v>0</v>
      </c>
      <c r="K7">
        <v>0</v>
      </c>
      <c r="L7">
        <v>16</v>
      </c>
      <c r="M7">
        <v>18</v>
      </c>
      <c r="N7">
        <v>20</v>
      </c>
      <c r="O7">
        <v>18</v>
      </c>
      <c r="P7">
        <v>16</v>
      </c>
      <c r="Q7">
        <v>18</v>
      </c>
      <c r="R7">
        <v>6</v>
      </c>
      <c r="S7">
        <v>6</v>
      </c>
      <c r="T7">
        <v>8</v>
      </c>
      <c r="U7">
        <v>0</v>
      </c>
      <c r="V7">
        <v>4</v>
      </c>
      <c r="W7">
        <v>8</v>
      </c>
      <c r="X7">
        <v>18</v>
      </c>
      <c r="Y7" t="s">
        <v>156</v>
      </c>
      <c r="Z7" t="s">
        <v>157</v>
      </c>
      <c r="AA7" t="s">
        <v>158</v>
      </c>
      <c r="AB7" t="s">
        <v>297</v>
      </c>
      <c r="AC7" s="18">
        <v>2</v>
      </c>
      <c r="AD7" t="s">
        <v>298</v>
      </c>
      <c r="AE7" t="s">
        <v>296</v>
      </c>
      <c r="AF7" t="s">
        <v>121</v>
      </c>
      <c r="AG7" t="s">
        <v>300</v>
      </c>
      <c r="AH7" t="s">
        <v>294</v>
      </c>
      <c r="AI7" s="8" t="s">
        <v>301</v>
      </c>
      <c r="AJ7" t="s">
        <v>229</v>
      </c>
      <c r="AK7" t="s">
        <v>159</v>
      </c>
      <c r="AL7" t="s">
        <v>242</v>
      </c>
      <c r="AM7" t="s">
        <v>160</v>
      </c>
      <c r="AN7" t="s">
        <v>161</v>
      </c>
      <c r="AO7" t="s">
        <v>37</v>
      </c>
      <c r="AP7" t="s">
        <v>258</v>
      </c>
      <c r="AQ7" t="s">
        <v>162</v>
      </c>
    </row>
    <row r="8" spans="1:44">
      <c r="A8" t="s">
        <v>86</v>
      </c>
      <c r="B8" t="s">
        <v>342</v>
      </c>
      <c r="C8" t="s">
        <v>87</v>
      </c>
      <c r="D8" t="s">
        <v>275</v>
      </c>
      <c r="E8">
        <v>3</v>
      </c>
      <c r="F8">
        <v>3</v>
      </c>
      <c r="G8">
        <v>0</v>
      </c>
      <c r="H8">
        <v>6</v>
      </c>
      <c r="I8">
        <v>4</v>
      </c>
      <c r="J8">
        <v>2</v>
      </c>
      <c r="K8">
        <v>0</v>
      </c>
      <c r="L8">
        <v>2</v>
      </c>
      <c r="M8">
        <v>18</v>
      </c>
      <c r="N8">
        <v>18</v>
      </c>
      <c r="O8">
        <v>18</v>
      </c>
      <c r="P8">
        <v>19</v>
      </c>
      <c r="Q8">
        <v>18</v>
      </c>
      <c r="R8">
        <v>5</v>
      </c>
      <c r="S8">
        <v>2</v>
      </c>
      <c r="T8">
        <v>8</v>
      </c>
      <c r="U8">
        <v>2</v>
      </c>
      <c r="V8">
        <v>5</v>
      </c>
      <c r="W8">
        <v>6</v>
      </c>
      <c r="X8">
        <v>15</v>
      </c>
      <c r="Y8" t="s">
        <v>88</v>
      </c>
      <c r="Z8" t="s">
        <v>89</v>
      </c>
      <c r="AA8" t="s">
        <v>90</v>
      </c>
      <c r="AB8" t="s">
        <v>341</v>
      </c>
      <c r="AC8" s="18">
        <v>1</v>
      </c>
      <c r="AD8" t="s">
        <v>91</v>
      </c>
      <c r="AE8" t="s">
        <v>319</v>
      </c>
      <c r="AF8" t="s">
        <v>68</v>
      </c>
      <c r="AH8" t="s">
        <v>92</v>
      </c>
      <c r="AI8" s="8" t="s">
        <v>385</v>
      </c>
      <c r="AJ8" t="s">
        <v>230</v>
      </c>
      <c r="AK8" t="s">
        <v>93</v>
      </c>
      <c r="AL8" t="s">
        <v>243</v>
      </c>
      <c r="AM8" t="s">
        <v>94</v>
      </c>
      <c r="AN8" t="s">
        <v>95</v>
      </c>
      <c r="AO8" t="s">
        <v>37</v>
      </c>
      <c r="AP8" t="s">
        <v>259</v>
      </c>
      <c r="AQ8" t="s">
        <v>96</v>
      </c>
    </row>
    <row r="9" spans="1:44">
      <c r="A9" t="s">
        <v>97</v>
      </c>
      <c r="B9" t="s">
        <v>342</v>
      </c>
      <c r="C9" t="s">
        <v>98</v>
      </c>
      <c r="D9" t="s">
        <v>276</v>
      </c>
      <c r="E9">
        <v>1</v>
      </c>
      <c r="F9">
        <v>1</v>
      </c>
      <c r="G9">
        <v>0</v>
      </c>
      <c r="H9">
        <v>4</v>
      </c>
      <c r="I9">
        <v>2</v>
      </c>
      <c r="J9">
        <v>0</v>
      </c>
      <c r="K9">
        <v>0</v>
      </c>
      <c r="L9">
        <v>0</v>
      </c>
      <c r="M9">
        <v>18</v>
      </c>
      <c r="N9">
        <v>20</v>
      </c>
      <c r="O9">
        <v>20</v>
      </c>
      <c r="P9">
        <v>20</v>
      </c>
      <c r="Q9">
        <v>19</v>
      </c>
      <c r="R9">
        <v>8</v>
      </c>
      <c r="S9">
        <v>2</v>
      </c>
      <c r="T9">
        <v>15</v>
      </c>
      <c r="U9">
        <v>6</v>
      </c>
      <c r="V9">
        <v>0</v>
      </c>
      <c r="W9">
        <v>0</v>
      </c>
      <c r="X9">
        <v>15</v>
      </c>
      <c r="Y9" t="s">
        <v>99</v>
      </c>
      <c r="Z9" t="s">
        <v>100</v>
      </c>
      <c r="AA9" t="s">
        <v>101</v>
      </c>
      <c r="AB9" t="s">
        <v>340</v>
      </c>
      <c r="AC9" s="18">
        <v>1.5</v>
      </c>
      <c r="AD9" t="s">
        <v>102</v>
      </c>
      <c r="AE9" t="s">
        <v>319</v>
      </c>
      <c r="AF9" t="s">
        <v>68</v>
      </c>
      <c r="AH9" t="s">
        <v>103</v>
      </c>
      <c r="AI9" s="8" t="s">
        <v>394</v>
      </c>
      <c r="AJ9" t="s">
        <v>231</v>
      </c>
      <c r="AK9" t="s">
        <v>104</v>
      </c>
      <c r="AL9" t="s">
        <v>244</v>
      </c>
      <c r="AM9" t="s">
        <v>105</v>
      </c>
      <c r="AN9" t="s">
        <v>106</v>
      </c>
      <c r="AO9" t="s">
        <v>37</v>
      </c>
      <c r="AP9" t="s">
        <v>260</v>
      </c>
      <c r="AQ9" t="s">
        <v>107</v>
      </c>
    </row>
    <row r="10" spans="1:44">
      <c r="A10" t="s">
        <v>125</v>
      </c>
      <c r="B10" t="s">
        <v>288</v>
      </c>
      <c r="C10" t="s">
        <v>289</v>
      </c>
      <c r="D10" t="s">
        <v>277</v>
      </c>
      <c r="E10">
        <v>2</v>
      </c>
      <c r="F10">
        <v>2</v>
      </c>
      <c r="G10">
        <v>0</v>
      </c>
      <c r="H10">
        <v>10</v>
      </c>
      <c r="I10">
        <v>10</v>
      </c>
      <c r="J10">
        <v>2</v>
      </c>
      <c r="K10">
        <v>0</v>
      </c>
      <c r="L10">
        <v>20</v>
      </c>
      <c r="M10">
        <v>6</v>
      </c>
      <c r="N10">
        <v>4</v>
      </c>
      <c r="O10">
        <v>0</v>
      </c>
      <c r="P10">
        <v>0</v>
      </c>
      <c r="Q10">
        <v>0</v>
      </c>
      <c r="R10">
        <v>0</v>
      </c>
      <c r="S10">
        <v>12</v>
      </c>
      <c r="T10">
        <v>3</v>
      </c>
      <c r="U10">
        <v>2</v>
      </c>
      <c r="V10">
        <v>6</v>
      </c>
      <c r="W10">
        <v>8</v>
      </c>
      <c r="X10">
        <v>10</v>
      </c>
      <c r="Y10" t="s">
        <v>126</v>
      </c>
      <c r="Z10" t="s">
        <v>127</v>
      </c>
      <c r="AA10" t="s">
        <v>128</v>
      </c>
      <c r="AB10" s="4">
        <v>5.0000000000000001E-3</v>
      </c>
      <c r="AC10" s="18">
        <v>0.5</v>
      </c>
      <c r="AD10" t="s">
        <v>349</v>
      </c>
      <c r="AF10" t="s">
        <v>114</v>
      </c>
      <c r="AH10" t="s">
        <v>323</v>
      </c>
      <c r="AI10" s="8" t="s">
        <v>322</v>
      </c>
      <c r="AJ10" t="s">
        <v>232</v>
      </c>
      <c r="AK10" t="s">
        <v>129</v>
      </c>
      <c r="AL10" t="s">
        <v>245</v>
      </c>
      <c r="AM10" t="s">
        <v>130</v>
      </c>
      <c r="AN10" t="s">
        <v>131</v>
      </c>
      <c r="AO10" t="s">
        <v>37</v>
      </c>
      <c r="AP10" t="s">
        <v>261</v>
      </c>
      <c r="AQ10" t="s">
        <v>132</v>
      </c>
    </row>
    <row r="11" spans="1:44">
      <c r="A11" t="s">
        <v>133</v>
      </c>
      <c r="B11" t="s">
        <v>284</v>
      </c>
      <c r="C11" t="s">
        <v>134</v>
      </c>
      <c r="D11" t="s">
        <v>278</v>
      </c>
      <c r="E11">
        <v>2</v>
      </c>
      <c r="F11">
        <v>5</v>
      </c>
      <c r="G11">
        <v>0</v>
      </c>
      <c r="H11">
        <v>20</v>
      </c>
      <c r="I11">
        <v>18</v>
      </c>
      <c r="J11">
        <v>14</v>
      </c>
      <c r="K11">
        <v>0</v>
      </c>
      <c r="L11">
        <v>12</v>
      </c>
      <c r="M11">
        <v>4</v>
      </c>
      <c r="N11">
        <v>3</v>
      </c>
      <c r="O11">
        <v>0</v>
      </c>
      <c r="P11">
        <v>0</v>
      </c>
      <c r="Q11">
        <v>0</v>
      </c>
      <c r="R11">
        <v>6</v>
      </c>
      <c r="S11">
        <v>8</v>
      </c>
      <c r="T11">
        <v>2</v>
      </c>
      <c r="U11">
        <v>0</v>
      </c>
      <c r="V11">
        <v>0</v>
      </c>
      <c r="W11">
        <v>4</v>
      </c>
      <c r="X11">
        <v>8</v>
      </c>
      <c r="Y11" t="s">
        <v>135</v>
      </c>
      <c r="Z11" t="s">
        <v>136</v>
      </c>
      <c r="AA11" t="s">
        <v>137</v>
      </c>
      <c r="AB11" t="s">
        <v>315</v>
      </c>
      <c r="AC11" s="18">
        <v>2</v>
      </c>
      <c r="AD11" t="s">
        <v>317</v>
      </c>
      <c r="AE11" t="s">
        <v>316</v>
      </c>
      <c r="AF11" t="s">
        <v>138</v>
      </c>
      <c r="AG11" t="s">
        <v>318</v>
      </c>
      <c r="AH11" t="s">
        <v>139</v>
      </c>
      <c r="AI11" s="8" t="s">
        <v>314</v>
      </c>
      <c r="AJ11" t="s">
        <v>233</v>
      </c>
      <c r="AK11" t="s">
        <v>140</v>
      </c>
      <c r="AL11" t="s">
        <v>246</v>
      </c>
      <c r="AM11" t="s">
        <v>141</v>
      </c>
      <c r="AN11" t="s">
        <v>142</v>
      </c>
      <c r="AO11" t="s">
        <v>37</v>
      </c>
      <c r="AP11" t="s">
        <v>262</v>
      </c>
      <c r="AQ11" t="s">
        <v>143</v>
      </c>
    </row>
    <row r="12" spans="1:44">
      <c r="A12" t="s">
        <v>108</v>
      </c>
      <c r="B12" t="s">
        <v>426</v>
      </c>
      <c r="C12" t="s">
        <v>109</v>
      </c>
      <c r="D12" t="s">
        <v>279</v>
      </c>
      <c r="E12">
        <v>8</v>
      </c>
      <c r="F12">
        <v>7</v>
      </c>
      <c r="G12">
        <v>0</v>
      </c>
      <c r="H12">
        <v>10</v>
      </c>
      <c r="I12">
        <v>8</v>
      </c>
      <c r="J12">
        <v>0</v>
      </c>
      <c r="K12">
        <v>16</v>
      </c>
      <c r="L12">
        <v>10</v>
      </c>
      <c r="M12">
        <v>18</v>
      </c>
      <c r="N12">
        <v>18</v>
      </c>
      <c r="O12">
        <v>14</v>
      </c>
      <c r="P12">
        <v>17</v>
      </c>
      <c r="Q12">
        <v>15</v>
      </c>
      <c r="R12">
        <v>4</v>
      </c>
      <c r="S12">
        <v>2</v>
      </c>
      <c r="T12">
        <v>12</v>
      </c>
      <c r="U12">
        <v>18</v>
      </c>
      <c r="V12">
        <v>3</v>
      </c>
      <c r="W12">
        <v>5</v>
      </c>
      <c r="X12">
        <v>17</v>
      </c>
      <c r="Y12" t="s">
        <v>110</v>
      </c>
      <c r="Z12" t="s">
        <v>111</v>
      </c>
      <c r="AA12" t="s">
        <v>112</v>
      </c>
      <c r="AB12" t="s">
        <v>113</v>
      </c>
      <c r="AC12" s="18">
        <v>1</v>
      </c>
      <c r="AD12" t="s">
        <v>331</v>
      </c>
      <c r="AE12" t="s">
        <v>332</v>
      </c>
      <c r="AF12" t="s">
        <v>114</v>
      </c>
      <c r="AG12" t="s">
        <v>303</v>
      </c>
      <c r="AH12" t="s">
        <v>115</v>
      </c>
      <c r="AI12" s="8" t="s">
        <v>333</v>
      </c>
      <c r="AJ12" t="s">
        <v>234</v>
      </c>
      <c r="AK12" t="s">
        <v>117</v>
      </c>
      <c r="AL12" t="s">
        <v>247</v>
      </c>
      <c r="AM12" t="s">
        <v>118</v>
      </c>
      <c r="AN12" t="s">
        <v>119</v>
      </c>
      <c r="AO12" t="s">
        <v>37</v>
      </c>
      <c r="AP12" t="s">
        <v>263</v>
      </c>
      <c r="AQ12" t="s">
        <v>120</v>
      </c>
      <c r="AR12" t="s">
        <v>329</v>
      </c>
    </row>
    <row r="13" spans="1:44">
      <c r="A13" t="s">
        <v>165</v>
      </c>
      <c r="B13" t="s">
        <v>61</v>
      </c>
      <c r="C13" t="s">
        <v>166</v>
      </c>
      <c r="D13" t="s">
        <v>280</v>
      </c>
      <c r="E13">
        <v>8</v>
      </c>
      <c r="F13">
        <v>8</v>
      </c>
      <c r="G13">
        <v>0</v>
      </c>
      <c r="H13">
        <v>3</v>
      </c>
      <c r="I13">
        <v>1</v>
      </c>
      <c r="J13">
        <v>0</v>
      </c>
      <c r="K13">
        <v>15</v>
      </c>
      <c r="L13">
        <v>6</v>
      </c>
      <c r="M13">
        <v>18</v>
      </c>
      <c r="N13">
        <v>17</v>
      </c>
      <c r="O13">
        <v>8</v>
      </c>
      <c r="P13">
        <v>10</v>
      </c>
      <c r="Q13">
        <v>18</v>
      </c>
      <c r="R13">
        <v>8</v>
      </c>
      <c r="S13">
        <v>4</v>
      </c>
      <c r="T13">
        <v>20</v>
      </c>
      <c r="U13">
        <v>20</v>
      </c>
      <c r="V13">
        <v>0</v>
      </c>
      <c r="W13">
        <v>0</v>
      </c>
      <c r="X13">
        <v>18</v>
      </c>
      <c r="Y13" t="s">
        <v>167</v>
      </c>
      <c r="Z13" t="s">
        <v>168</v>
      </c>
      <c r="AA13" t="s">
        <v>169</v>
      </c>
      <c r="AB13" t="s">
        <v>122</v>
      </c>
      <c r="AC13" s="18">
        <v>2</v>
      </c>
      <c r="AD13" t="s">
        <v>349</v>
      </c>
      <c r="AF13" t="s">
        <v>68</v>
      </c>
      <c r="AG13" t="s">
        <v>324</v>
      </c>
      <c r="AH13" t="s">
        <v>170</v>
      </c>
      <c r="AI13" s="8" t="s">
        <v>391</v>
      </c>
      <c r="AJ13" t="s">
        <v>234</v>
      </c>
      <c r="AK13" t="s">
        <v>117</v>
      </c>
      <c r="AL13" t="s">
        <v>248</v>
      </c>
      <c r="AM13" t="s">
        <v>171</v>
      </c>
      <c r="AN13" t="s">
        <v>172</v>
      </c>
      <c r="AO13" t="s">
        <v>37</v>
      </c>
      <c r="AP13" t="s">
        <v>264</v>
      </c>
      <c r="AQ13" t="s">
        <v>173</v>
      </c>
    </row>
    <row r="14" spans="1:44">
      <c r="A14" t="s">
        <v>49</v>
      </c>
      <c r="B14" t="s">
        <v>285</v>
      </c>
      <c r="C14" t="s">
        <v>286</v>
      </c>
      <c r="D14" t="s">
        <v>281</v>
      </c>
      <c r="E14">
        <v>17</v>
      </c>
      <c r="F14">
        <v>19</v>
      </c>
      <c r="G14">
        <v>0</v>
      </c>
      <c r="H14">
        <v>6</v>
      </c>
      <c r="I14">
        <v>8</v>
      </c>
      <c r="J14">
        <v>5</v>
      </c>
      <c r="K14">
        <v>0</v>
      </c>
      <c r="L14">
        <v>0</v>
      </c>
      <c r="M14">
        <v>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 t="s">
        <v>50</v>
      </c>
      <c r="Z14" t="s">
        <v>51</v>
      </c>
      <c r="AA14" t="s">
        <v>52</v>
      </c>
      <c r="AB14" t="s">
        <v>53</v>
      </c>
      <c r="AC14" s="18">
        <v>2</v>
      </c>
      <c r="AD14" t="s">
        <v>54</v>
      </c>
      <c r="AE14" t="s">
        <v>319</v>
      </c>
      <c r="AF14" t="s">
        <v>55</v>
      </c>
      <c r="AH14" t="s">
        <v>56</v>
      </c>
      <c r="AI14" s="8" t="s">
        <v>334</v>
      </c>
      <c r="AJ14" t="s">
        <v>225</v>
      </c>
      <c r="AK14" t="s">
        <v>57</v>
      </c>
      <c r="AL14" t="s">
        <v>249</v>
      </c>
      <c r="AM14" t="s">
        <v>58</v>
      </c>
      <c r="AN14" t="s">
        <v>59</v>
      </c>
      <c r="AO14" t="s">
        <v>37</v>
      </c>
      <c r="AP14" t="s">
        <v>265</v>
      </c>
      <c r="AQ14" t="s">
        <v>60</v>
      </c>
    </row>
    <row r="15" spans="1:44">
      <c r="A15" t="s">
        <v>75</v>
      </c>
      <c r="B15" t="s">
        <v>70</v>
      </c>
      <c r="C15" t="s">
        <v>76</v>
      </c>
      <c r="D15" t="s">
        <v>282</v>
      </c>
      <c r="E15">
        <v>18</v>
      </c>
      <c r="F15">
        <v>14</v>
      </c>
      <c r="G15">
        <v>15</v>
      </c>
      <c r="H15">
        <v>12</v>
      </c>
      <c r="I15">
        <v>10</v>
      </c>
      <c r="J15">
        <v>8</v>
      </c>
      <c r="K15">
        <v>0</v>
      </c>
      <c r="L15">
        <v>12</v>
      </c>
      <c r="M15">
        <v>15</v>
      </c>
      <c r="N15">
        <v>14</v>
      </c>
      <c r="O15">
        <v>8</v>
      </c>
      <c r="P15">
        <v>12</v>
      </c>
      <c r="Q15">
        <v>11</v>
      </c>
      <c r="R15">
        <v>4</v>
      </c>
      <c r="S15">
        <v>4</v>
      </c>
      <c r="T15">
        <v>3</v>
      </c>
      <c r="U15">
        <v>2</v>
      </c>
      <c r="V15">
        <v>15</v>
      </c>
      <c r="W15">
        <v>12</v>
      </c>
      <c r="X15">
        <v>13</v>
      </c>
      <c r="Y15" t="s">
        <v>77</v>
      </c>
      <c r="Z15" t="s">
        <v>78</v>
      </c>
      <c r="AA15" t="s">
        <v>79</v>
      </c>
      <c r="AB15" t="s">
        <v>321</v>
      </c>
      <c r="AC15" s="18">
        <v>1</v>
      </c>
      <c r="AD15" t="s">
        <v>349</v>
      </c>
      <c r="AE15" t="s">
        <v>320</v>
      </c>
      <c r="AF15" t="s">
        <v>68</v>
      </c>
      <c r="AH15" t="s">
        <v>81</v>
      </c>
      <c r="AI15" s="8" t="s">
        <v>386</v>
      </c>
      <c r="AJ15" t="s">
        <v>82</v>
      </c>
      <c r="AK15" t="s">
        <v>82</v>
      </c>
      <c r="AL15" t="s">
        <v>250</v>
      </c>
      <c r="AM15" t="s">
        <v>83</v>
      </c>
      <c r="AN15" t="s">
        <v>84</v>
      </c>
      <c r="AO15" t="s">
        <v>37</v>
      </c>
      <c r="AP15" t="s">
        <v>266</v>
      </c>
      <c r="AQ15" t="s">
        <v>85</v>
      </c>
    </row>
    <row r="16" spans="1:44">
      <c r="A16" t="s">
        <v>145</v>
      </c>
      <c r="B16" t="s">
        <v>284</v>
      </c>
      <c r="C16" t="s">
        <v>335</v>
      </c>
      <c r="D16" t="s">
        <v>283</v>
      </c>
      <c r="E16">
        <v>17</v>
      </c>
      <c r="F16">
        <v>18</v>
      </c>
      <c r="G16">
        <v>6</v>
      </c>
      <c r="H16">
        <v>4</v>
      </c>
      <c r="I16">
        <v>4</v>
      </c>
      <c r="J16">
        <v>2</v>
      </c>
      <c r="K16">
        <v>0</v>
      </c>
      <c r="L16">
        <v>2</v>
      </c>
      <c r="M16">
        <v>17</v>
      </c>
      <c r="N16">
        <v>16</v>
      </c>
      <c r="O16">
        <v>16</v>
      </c>
      <c r="P16">
        <v>8</v>
      </c>
      <c r="Q16">
        <v>18</v>
      </c>
      <c r="R16">
        <v>4</v>
      </c>
      <c r="S16">
        <v>2</v>
      </c>
      <c r="T16">
        <v>6</v>
      </c>
      <c r="U16">
        <v>0</v>
      </c>
      <c r="V16">
        <v>0</v>
      </c>
      <c r="W16">
        <v>0</v>
      </c>
      <c r="X16">
        <v>12</v>
      </c>
      <c r="Y16" t="s">
        <v>146</v>
      </c>
      <c r="Z16" t="s">
        <v>147</v>
      </c>
      <c r="AA16" t="s">
        <v>148</v>
      </c>
      <c r="AB16" t="s">
        <v>336</v>
      </c>
      <c r="AC16" s="18">
        <v>2</v>
      </c>
      <c r="AD16" t="s">
        <v>338</v>
      </c>
      <c r="AE16" t="s">
        <v>337</v>
      </c>
      <c r="AF16" t="s">
        <v>149</v>
      </c>
      <c r="AG16" t="s">
        <v>339</v>
      </c>
      <c r="AH16" t="s">
        <v>150</v>
      </c>
      <c r="AI16" s="8" t="s">
        <v>397</v>
      </c>
      <c r="AJ16" t="s">
        <v>235</v>
      </c>
      <c r="AK16" t="s">
        <v>151</v>
      </c>
      <c r="AL16" t="s">
        <v>251</v>
      </c>
      <c r="AM16" t="s">
        <v>152</v>
      </c>
      <c r="AN16" t="s">
        <v>153</v>
      </c>
      <c r="AO16" t="s">
        <v>37</v>
      </c>
      <c r="AP16" t="s">
        <v>267</v>
      </c>
      <c r="AQ16" t="s">
        <v>154</v>
      </c>
    </row>
  </sheetData>
  <autoFilter ref="A1:AR16"/>
  <hyperlinks>
    <hyperlink ref="AI10" r:id="rId1"/>
    <hyperlink ref="AI2" r:id="rId2"/>
    <hyperlink ref="AI3" r:id="rId3"/>
    <hyperlink ref="AI4" r:id="rId4"/>
    <hyperlink ref="AI5" r:id="rId5" display="pd_marketing_leaflet_defensil-plus_summary_enp000001877.pdf; Defensil Plus.pdf"/>
    <hyperlink ref="AI6" r:id="rId6" display="Brochure_AmelioSense.pdf; PPT_AmelioSense.pdf"/>
    <hyperlink ref="AI7" r:id="rId7"/>
    <hyperlink ref="AI8" r:id="rId8" display="ETERWELL YOUTH customer presentation 2024.pdf; ETERWELL-YOUTH_Teaser_2024Mar.pdf"/>
    <hyperlink ref="AI9" r:id="rId9" display="ETERWELL__YOUTH___SYN_-COLL_CB_presentation_10.2025[58888].pdf"/>
    <hyperlink ref="AI11" r:id="rId10"/>
    <hyperlink ref="AI12" r:id="rId11" display="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"/>
    <hyperlink ref="AI13" r:id="rId12" display="Brochure_NovoRetin.pdf; PPT_NovoRetin.pdf"/>
    <hyperlink ref="AI14" r:id="rId13"/>
    <hyperlink ref="AI15" r:id="rId14" display="22_Glycoin_natural_Factsheet_bitop AG_24p.pdf; Publication_EuroCosmetics Glycoin natural_Bitop_final.pdf"/>
    <hyperlink ref="AI16" r:id="rId15" display="Active Beauty Leaflet_Vetivyne™_TLV180322.pdf; Active Beauty Presentation_Vetivyne™_TPV180410"/>
  </hyperlinks>
  <pageMargins left="0.7" right="0.7" top="0.75" bottom="0.75" header="0.3" footer="0.3"/>
  <pageSetup orientation="portrait"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0"/>
  <sheetViews>
    <sheetView workbookViewId="0">
      <selection activeCell="H11" sqref="H11"/>
    </sheetView>
  </sheetViews>
  <sheetFormatPr defaultColWidth="8.8125" defaultRowHeight="13.5"/>
  <cols>
    <col min="1" max="1" width="19.625" bestFit="1" customWidth="1"/>
    <col min="2" max="2" width="8.1875" customWidth="1"/>
    <col min="3" max="29" width="4.4375" customWidth="1"/>
  </cols>
  <sheetData>
    <row r="2" spans="1:29" ht="114" customHeight="1">
      <c r="A2" s="9"/>
      <c r="B2" s="10" t="s">
        <v>378</v>
      </c>
      <c r="C2" s="10" t="str">
        <f>Bases!A2</f>
        <v>Light Lotion</v>
      </c>
      <c r="D2" s="10" t="str">
        <f>Bases!A3</f>
        <v>Moisturiser</v>
      </c>
      <c r="E2" s="10" t="str">
        <f>Bases!A4</f>
        <v>Cream</v>
      </c>
      <c r="F2" s="10" t="str">
        <f>Bases!A5</f>
        <v>Serum</v>
      </c>
      <c r="G2" s="10" t="str">
        <f>Bases!A6</f>
        <v>Oil</v>
      </c>
      <c r="H2" s="10"/>
      <c r="I2" s="10" t="s">
        <v>379</v>
      </c>
      <c r="J2" s="10" t="str">
        <f>Actives!B2</f>
        <v>Ectoin® natural</v>
      </c>
      <c r="K2" s="10" t="str">
        <f>Actives!B3</f>
        <v>Skinmimics® PRO MB</v>
      </c>
      <c r="L2" s="10" t="str">
        <f>Actives!B4</f>
        <v>Dermabiotics GN</v>
      </c>
      <c r="M2" s="10" t="str">
        <f>Actives!B5</f>
        <v>Defensil® Plus</v>
      </c>
      <c r="N2" s="10" t="str">
        <f>Actives!B6</f>
        <v>AmelioSense™</v>
      </c>
      <c r="O2" s="10" t="str">
        <f>Actives!B7</f>
        <v>Agefinity™</v>
      </c>
      <c r="P2" s="10" t="str">
        <f>Actives!B8</f>
        <v>ETERWELL™ YOUTH</v>
      </c>
      <c r="Q2" s="10" t="str">
        <f>Actives!B9</f>
        <v>SYN®-COLL CB</v>
      </c>
      <c r="R2" s="10" t="str">
        <f>Actives!B10</f>
        <v>ILUMYS®</v>
      </c>
      <c r="S2" s="10" t="str">
        <f>Actives!B11</f>
        <v>ENDOTHELYOL®</v>
      </c>
      <c r="T2" s="10" t="str">
        <f>Actives!B12</f>
        <v>Sytenol® A</v>
      </c>
      <c r="U2" s="10" t="str">
        <f>Actives!B13</f>
        <v>NovoRetin™</v>
      </c>
      <c r="V2" s="10" t="str">
        <f>Actives!B14</f>
        <v>TRI-SOLVE®</v>
      </c>
      <c r="W2" s="10" t="str">
        <f>Actives!B15</f>
        <v>Glycoin® natural</v>
      </c>
      <c r="X2" s="10" t="str">
        <f>Actives!B16</f>
        <v>Vetivyne™</v>
      </c>
      <c r="Y2" s="10" t="str">
        <f>Actives!B17</f>
        <v>Active 16</v>
      </c>
      <c r="Z2" s="10" t="str">
        <f>Actives!B18</f>
        <v>Active 17</v>
      </c>
      <c r="AA2" s="10" t="str">
        <f>Actives!B19</f>
        <v>Active 18</v>
      </c>
      <c r="AB2" s="10" t="str">
        <f>Actives!B20</f>
        <v>Active 19</v>
      </c>
      <c r="AC2" s="10" t="str">
        <f>Actives!B21</f>
        <v>Active 20</v>
      </c>
    </row>
    <row r="3" spans="1:29">
      <c r="A3" s="9" t="s">
        <v>378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>
      <c r="A4" s="9" t="str">
        <f>Bases!A2</f>
        <v>Light Lotion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>
      <c r="A5" s="9" t="str">
        <f>Bases!A3</f>
        <v>Moisturiser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>
      <c r="A6" s="9" t="str">
        <f>Bases!A4</f>
        <v>Cream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>
      <c r="A7" s="9" t="str">
        <f>Bases!A5</f>
        <v>Serum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>
      <c r="A8" s="9" t="str">
        <f>Bases!A6</f>
        <v>Oil</v>
      </c>
      <c r="B8" s="9"/>
      <c r="C8" s="9"/>
      <c r="D8" s="9"/>
      <c r="E8" s="9"/>
      <c r="F8" s="9"/>
      <c r="G8" s="9"/>
      <c r="H8" s="9"/>
      <c r="I8" s="9"/>
      <c r="J8" s="12" t="s">
        <v>425</v>
      </c>
      <c r="K8" s="12" t="s">
        <v>425</v>
      </c>
      <c r="L8" s="12" t="s">
        <v>425</v>
      </c>
      <c r="M8" s="12"/>
      <c r="N8" s="12" t="s">
        <v>425</v>
      </c>
      <c r="O8" s="12" t="s">
        <v>425</v>
      </c>
      <c r="P8" s="12" t="s">
        <v>425</v>
      </c>
      <c r="Q8" s="12" t="s">
        <v>425</v>
      </c>
      <c r="R8" s="12"/>
      <c r="S8" s="12" t="s">
        <v>425</v>
      </c>
      <c r="T8" s="12"/>
      <c r="U8" s="12" t="s">
        <v>425</v>
      </c>
      <c r="V8" s="12" t="s">
        <v>425</v>
      </c>
      <c r="W8" s="12" t="s">
        <v>425</v>
      </c>
      <c r="X8" s="12"/>
      <c r="Y8" s="9"/>
      <c r="Z8" s="9"/>
      <c r="AA8" s="9"/>
      <c r="AB8" s="9"/>
      <c r="AC8" s="9"/>
    </row>
    <row r="9" spans="1:2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>
      <c r="A10" s="9" t="s">
        <v>379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>
      <c r="A11" s="9" t="str">
        <f>Actives!B2</f>
        <v>Ectoin® natural</v>
      </c>
      <c r="B11" s="9"/>
      <c r="C11" s="9"/>
      <c r="D11" s="9"/>
      <c r="E11" s="9"/>
      <c r="F11" s="9"/>
      <c r="G11" s="12" t="s">
        <v>425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>
      <c r="A12" s="9" t="str">
        <f>Actives!B3</f>
        <v>Skinmimics® PRO MB</v>
      </c>
      <c r="B12" s="9"/>
      <c r="C12" s="9"/>
      <c r="D12" s="9"/>
      <c r="E12" s="9"/>
      <c r="F12" s="9"/>
      <c r="G12" s="12" t="s">
        <v>425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>
      <c r="A13" s="9" t="str">
        <f>Actives!B4</f>
        <v>Dermabiotics GN</v>
      </c>
      <c r="B13" s="9"/>
      <c r="C13" s="9"/>
      <c r="D13" s="9"/>
      <c r="E13" s="9"/>
      <c r="F13" s="9"/>
      <c r="G13" s="12" t="s">
        <v>425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>
      <c r="A14" s="9" t="str">
        <f>Actives!B5</f>
        <v>Defensil® Plus</v>
      </c>
      <c r="B14" s="9"/>
      <c r="C14" s="9"/>
      <c r="D14" s="9"/>
      <c r="E14" s="9"/>
      <c r="F14" s="9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>
      <c r="A15" s="9" t="str">
        <f>Actives!B6</f>
        <v>AmelioSense™</v>
      </c>
      <c r="B15" s="9"/>
      <c r="C15" s="9"/>
      <c r="D15" s="9"/>
      <c r="E15" s="9"/>
      <c r="F15" s="9"/>
      <c r="G15" s="12" t="s">
        <v>425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>
      <c r="A16" s="9" t="str">
        <f>Actives!B7</f>
        <v>Agefinity™</v>
      </c>
      <c r="B16" s="9"/>
      <c r="C16" s="9"/>
      <c r="D16" s="9"/>
      <c r="E16" s="9"/>
      <c r="F16" s="9"/>
      <c r="G16" s="12" t="s">
        <v>425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>
      <c r="A17" s="9" t="str">
        <f>Actives!B8</f>
        <v>ETERWELL™ YOUTH</v>
      </c>
      <c r="B17" s="9"/>
      <c r="C17" s="9"/>
      <c r="D17" s="9"/>
      <c r="E17" s="9"/>
      <c r="F17" s="9"/>
      <c r="G17" s="12" t="s">
        <v>425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>
      <c r="A18" s="9" t="str">
        <f>Actives!B9</f>
        <v>SYN®-COLL CB</v>
      </c>
      <c r="B18" s="9"/>
      <c r="C18" s="9"/>
      <c r="D18" s="9"/>
      <c r="E18" s="9"/>
      <c r="F18" s="9"/>
      <c r="G18" s="12" t="s">
        <v>425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>
      <c r="A19" s="9" t="str">
        <f>Actives!B10</f>
        <v>ILUMYS®</v>
      </c>
      <c r="B19" s="9"/>
      <c r="C19" s="9"/>
      <c r="D19" s="9"/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>
      <c r="A20" s="9" t="str">
        <f>Actives!B11</f>
        <v>ENDOTHELYOL®</v>
      </c>
      <c r="B20" s="9"/>
      <c r="C20" s="9"/>
      <c r="D20" s="9"/>
      <c r="E20" s="9"/>
      <c r="F20" s="9"/>
      <c r="G20" s="12" t="s">
        <v>425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>
      <c r="A21" s="9" t="str">
        <f>Actives!B12</f>
        <v>Sytenol® A</v>
      </c>
      <c r="B21" s="9"/>
      <c r="C21" s="9"/>
      <c r="D21" s="9"/>
      <c r="E21" s="9"/>
      <c r="F21" s="9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>
      <c r="A22" s="9" t="str">
        <f>Actives!B13</f>
        <v>NovoRetin™</v>
      </c>
      <c r="B22" s="9"/>
      <c r="C22" s="9"/>
      <c r="D22" s="9"/>
      <c r="E22" s="9"/>
      <c r="F22" s="9"/>
      <c r="G22" s="12" t="s">
        <v>425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>
      <c r="A23" s="9" t="str">
        <f>Actives!B14</f>
        <v>TRI-SOLVE®</v>
      </c>
      <c r="B23" s="9"/>
      <c r="C23" s="9"/>
      <c r="D23" s="9"/>
      <c r="E23" s="9"/>
      <c r="F23" s="9"/>
      <c r="G23" s="12" t="s">
        <v>425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>
      <c r="A24" s="9" t="str">
        <f>Actives!B15</f>
        <v>Glycoin® natural</v>
      </c>
      <c r="B24" s="9"/>
      <c r="C24" s="9"/>
      <c r="D24" s="9"/>
      <c r="E24" s="9"/>
      <c r="F24" s="9"/>
      <c r="G24" s="12" t="s">
        <v>425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>
      <c r="A25" s="9" t="str">
        <f>Actives!B16</f>
        <v>Vetivyne™</v>
      </c>
      <c r="B25" s="9"/>
      <c r="C25" s="9"/>
      <c r="D25" s="9"/>
      <c r="E25" s="9"/>
      <c r="F25" s="9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>
      <c r="A26" s="9" t="str">
        <f>Actives!B17</f>
        <v>Active 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>
      <c r="A27" s="9" t="str">
        <f>Actives!B18</f>
        <v>Active 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>
      <c r="A28" s="9" t="str">
        <f>Actives!B19</f>
        <v>Active 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>
      <c r="A29" s="9" t="str">
        <f>Actives!B20</f>
        <v>Active 19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9" t="str">
        <f>Actives!B21</f>
        <v>Active 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opLeftCell="A1048553" workbookViewId="0">
      <selection activeCell="A1048576" sqref="A1048576"/>
    </sheetView>
  </sheetViews>
  <sheetFormatPr defaultRowHeight="13.5"/>
  <cols>
    <col min="1" max="1" width="120.625" customWidth="1"/>
  </cols>
  <sheetData>
    <row r="1" spans="1:1" ht="20.65">
      <c r="A1" s="5" t="s">
        <v>343</v>
      </c>
    </row>
    <row r="2" spans="1:1" ht="27">
      <c r="A2" s="6" t="s">
        <v>344</v>
      </c>
    </row>
    <row r="3" spans="1:1">
      <c r="A3" s="6" t="s">
        <v>345</v>
      </c>
    </row>
    <row r="4" spans="1:1">
      <c r="A4" s="6" t="s">
        <v>346</v>
      </c>
    </row>
    <row r="5" spans="1:1" ht="27">
      <c r="A5" s="6" t="s">
        <v>347</v>
      </c>
    </row>
    <row r="6" spans="1:1">
      <c r="A6" s="6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0" sqref="D10"/>
    </sheetView>
  </sheetViews>
  <sheetFormatPr defaultColWidth="8.75" defaultRowHeight="13.5"/>
  <cols>
    <col min="1" max="1" width="43.5" style="2" bestFit="1" customWidth="1"/>
    <col min="2" max="2" width="66.4375" style="2" bestFit="1" customWidth="1"/>
    <col min="3" max="3" width="7.75" style="2" bestFit="1" customWidth="1"/>
    <col min="4" max="4" width="19.25" style="2" bestFit="1" customWidth="1"/>
    <col min="5" max="16384" width="8.75" style="2"/>
  </cols>
  <sheetData>
    <row r="1" spans="1:5" ht="13.9">
      <c r="A1" s="1" t="s">
        <v>31</v>
      </c>
      <c r="B1" s="1" t="s">
        <v>206</v>
      </c>
      <c r="C1" s="1" t="s">
        <v>431</v>
      </c>
      <c r="D1" s="1" t="s">
        <v>435</v>
      </c>
      <c r="E1" s="2" t="s">
        <v>429</v>
      </c>
    </row>
    <row r="2" spans="1:5">
      <c r="A2" s="16" t="s">
        <v>48</v>
      </c>
      <c r="B2" s="3" t="s">
        <v>207</v>
      </c>
      <c r="C2" s="16"/>
      <c r="D2" s="16" t="s">
        <v>439</v>
      </c>
      <c r="E2" s="2" t="s">
        <v>427</v>
      </c>
    </row>
    <row r="3" spans="1:5">
      <c r="A3" s="3" t="s">
        <v>164</v>
      </c>
      <c r="B3" s="3" t="s">
        <v>208</v>
      </c>
      <c r="C3" s="3"/>
      <c r="D3" s="3"/>
      <c r="E3" s="2" t="s">
        <v>428</v>
      </c>
    </row>
    <row r="4" spans="1:5">
      <c r="A4" s="3" t="s">
        <v>36</v>
      </c>
      <c r="B4" s="3" t="s">
        <v>209</v>
      </c>
      <c r="C4" s="3"/>
      <c r="D4" s="3"/>
      <c r="E4" s="2" t="s">
        <v>430</v>
      </c>
    </row>
    <row r="5" spans="1:5">
      <c r="A5" s="16" t="s">
        <v>140</v>
      </c>
      <c r="B5" s="3" t="s">
        <v>210</v>
      </c>
      <c r="C5" s="16"/>
      <c r="D5" s="16"/>
      <c r="E5" s="2" t="s">
        <v>432</v>
      </c>
    </row>
    <row r="6" spans="1:5">
      <c r="A6" s="3" t="s">
        <v>211</v>
      </c>
      <c r="B6" s="3" t="s">
        <v>212</v>
      </c>
      <c r="C6" s="3"/>
      <c r="D6" s="3"/>
      <c r="E6" s="2" t="s">
        <v>433</v>
      </c>
    </row>
    <row r="7" spans="1:5">
      <c r="A7" s="3" t="s">
        <v>117</v>
      </c>
      <c r="B7" s="3" t="s">
        <v>213</v>
      </c>
      <c r="C7" s="3"/>
      <c r="D7" s="3"/>
      <c r="E7" s="2" t="s">
        <v>434</v>
      </c>
    </row>
    <row r="8" spans="1:5">
      <c r="A8" s="3" t="s">
        <v>124</v>
      </c>
      <c r="B8" s="3" t="s">
        <v>214</v>
      </c>
      <c r="C8" s="3"/>
      <c r="D8" s="3" t="s">
        <v>436</v>
      </c>
    </row>
    <row r="9" spans="1:5">
      <c r="A9" s="3" t="s">
        <v>437</v>
      </c>
      <c r="B9" s="3" t="s">
        <v>215</v>
      </c>
      <c r="C9" s="3"/>
      <c r="D9" s="3" t="s">
        <v>438</v>
      </c>
    </row>
    <row r="10" spans="1:5">
      <c r="A10" s="3" t="s">
        <v>82</v>
      </c>
      <c r="B10" s="3" t="s">
        <v>216</v>
      </c>
      <c r="C10" s="3"/>
      <c r="D10" s="3"/>
    </row>
    <row r="11" spans="1:5">
      <c r="A11" s="16" t="s">
        <v>129</v>
      </c>
      <c r="B11" s="3" t="s">
        <v>217</v>
      </c>
      <c r="C11" s="16"/>
      <c r="D11" s="16"/>
    </row>
    <row r="12" spans="1:5">
      <c r="A12" s="3" t="s">
        <v>218</v>
      </c>
      <c r="B12" s="3" t="s">
        <v>219</v>
      </c>
      <c r="C12" s="3"/>
      <c r="D12" s="3" t="s">
        <v>436</v>
      </c>
    </row>
    <row r="13" spans="1:5">
      <c r="A13" s="3" t="s">
        <v>123</v>
      </c>
      <c r="B13" s="3" t="s">
        <v>220</v>
      </c>
      <c r="C13" s="3"/>
      <c r="D13" s="3"/>
    </row>
    <row r="14" spans="1:5">
      <c r="A14" s="3" t="s">
        <v>144</v>
      </c>
      <c r="B14" s="3" t="s">
        <v>221</v>
      </c>
      <c r="C14" s="3"/>
      <c r="D14" s="3"/>
    </row>
    <row r="15" spans="1:5">
      <c r="A15" s="3" t="s">
        <v>174</v>
      </c>
      <c r="B15" s="3" t="s">
        <v>222</v>
      </c>
      <c r="C15" s="3"/>
      <c r="D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XFD1048576"/>
    </sheetView>
  </sheetViews>
  <sheetFormatPr defaultColWidth="56.1875" defaultRowHeight="13.5"/>
  <cols>
    <col min="1" max="1" width="15.0625" bestFit="1" customWidth="1"/>
    <col min="2" max="2" width="26.25" bestFit="1" customWidth="1"/>
    <col min="3" max="3" width="18.5625" bestFit="1" customWidth="1"/>
    <col min="4" max="4" width="26" bestFit="1" customWidth="1"/>
  </cols>
  <sheetData>
    <row r="1" spans="1:4" ht="13.9">
      <c r="A1" s="20" t="s">
        <v>441</v>
      </c>
      <c r="B1" s="21" t="s">
        <v>442</v>
      </c>
      <c r="C1" s="21" t="s">
        <v>474</v>
      </c>
      <c r="D1" s="21" t="s">
        <v>473</v>
      </c>
    </row>
    <row r="2" spans="1:4">
      <c r="A2" s="19" t="s">
        <v>475</v>
      </c>
      <c r="B2" s="22" t="s">
        <v>443</v>
      </c>
      <c r="C2" s="22">
        <v>1</v>
      </c>
      <c r="D2" s="22">
        <v>1</v>
      </c>
    </row>
    <row r="3" spans="1:4">
      <c r="A3" s="19" t="s">
        <v>476</v>
      </c>
      <c r="B3" s="22" t="s">
        <v>444</v>
      </c>
      <c r="C3" s="22">
        <v>1</v>
      </c>
      <c r="D3" s="22">
        <v>1</v>
      </c>
    </row>
    <row r="4" spans="1:4">
      <c r="A4" s="19" t="s">
        <v>477</v>
      </c>
      <c r="B4" s="22" t="s">
        <v>445</v>
      </c>
      <c r="C4" s="22">
        <v>1</v>
      </c>
      <c r="D4" s="22">
        <v>1</v>
      </c>
    </row>
    <row r="5" spans="1:4">
      <c r="A5" s="19" t="s">
        <v>478</v>
      </c>
      <c r="B5" s="22" t="s">
        <v>227</v>
      </c>
      <c r="C5" s="22">
        <v>1</v>
      </c>
      <c r="D5" s="22">
        <v>1</v>
      </c>
    </row>
    <row r="6" spans="1:4">
      <c r="A6" s="19" t="s">
        <v>479</v>
      </c>
      <c r="B6" s="22" t="s">
        <v>446</v>
      </c>
      <c r="C6" s="22">
        <v>1</v>
      </c>
      <c r="D6" s="22">
        <v>1</v>
      </c>
    </row>
    <row r="7" spans="1:4">
      <c r="A7" s="19" t="s">
        <v>480</v>
      </c>
      <c r="B7" s="22" t="s">
        <v>233</v>
      </c>
      <c r="C7" s="22">
        <v>1</v>
      </c>
      <c r="D7" s="22">
        <v>1</v>
      </c>
    </row>
    <row r="8" spans="1:4">
      <c r="A8" s="19" t="s">
        <v>481</v>
      </c>
      <c r="B8" s="22" t="s">
        <v>448</v>
      </c>
      <c r="C8" s="22">
        <v>1</v>
      </c>
      <c r="D8" s="22">
        <v>1</v>
      </c>
    </row>
    <row r="9" spans="1:4">
      <c r="A9" s="19" t="s">
        <v>482</v>
      </c>
      <c r="B9" s="22" t="s">
        <v>449</v>
      </c>
      <c r="C9" s="22">
        <v>1</v>
      </c>
      <c r="D9" s="22">
        <v>1</v>
      </c>
    </row>
    <row r="10" spans="1:4">
      <c r="A10" s="19" t="s">
        <v>483</v>
      </c>
      <c r="B10" s="22" t="s">
        <v>450</v>
      </c>
      <c r="C10" s="22">
        <v>1</v>
      </c>
      <c r="D10" s="22">
        <v>1</v>
      </c>
    </row>
    <row r="11" spans="1:4">
      <c r="A11" s="19" t="s">
        <v>484</v>
      </c>
      <c r="B11" s="22" t="s">
        <v>451</v>
      </c>
      <c r="C11" s="22">
        <v>1</v>
      </c>
      <c r="D11" s="22">
        <v>1</v>
      </c>
    </row>
    <row r="12" spans="1:4">
      <c r="A12" s="19" t="s">
        <v>485</v>
      </c>
      <c r="B12" s="22" t="s">
        <v>458</v>
      </c>
      <c r="C12" s="22">
        <v>1</v>
      </c>
      <c r="D12" s="22">
        <v>1</v>
      </c>
    </row>
    <row r="13" spans="1:4">
      <c r="A13" s="19" t="s">
        <v>486</v>
      </c>
      <c r="B13" s="22" t="s">
        <v>459</v>
      </c>
      <c r="C13" s="22">
        <v>1</v>
      </c>
      <c r="D13" s="22">
        <v>1</v>
      </c>
    </row>
    <row r="14" spans="1:4">
      <c r="A14" s="19" t="s">
        <v>487</v>
      </c>
      <c r="B14" s="22" t="s">
        <v>460</v>
      </c>
      <c r="C14" s="22">
        <v>1</v>
      </c>
      <c r="D14" s="22">
        <v>1</v>
      </c>
    </row>
    <row r="15" spans="1:4">
      <c r="A15" s="19" t="s">
        <v>488</v>
      </c>
      <c r="B15" s="22" t="s">
        <v>462</v>
      </c>
      <c r="C15" s="22">
        <v>1</v>
      </c>
      <c r="D15" s="22">
        <v>1</v>
      </c>
    </row>
    <row r="16" spans="1:4">
      <c r="A16" s="19" t="s">
        <v>489</v>
      </c>
      <c r="B16" s="22" t="s">
        <v>463</v>
      </c>
      <c r="C16" s="22">
        <v>1</v>
      </c>
      <c r="D16" s="22">
        <v>1</v>
      </c>
    </row>
    <row r="17" spans="1:4">
      <c r="A17" s="19" t="s">
        <v>490</v>
      </c>
      <c r="B17" s="22" t="s">
        <v>464</v>
      </c>
      <c r="C17" s="22">
        <v>1</v>
      </c>
      <c r="D17" s="22">
        <v>1</v>
      </c>
    </row>
    <row r="18" spans="1:4">
      <c r="A18" s="19" t="s">
        <v>491</v>
      </c>
      <c r="B18" s="22" t="s">
        <v>465</v>
      </c>
      <c r="C18" s="22">
        <v>1</v>
      </c>
      <c r="D18" s="22">
        <v>1</v>
      </c>
    </row>
    <row r="19" spans="1:4">
      <c r="A19" s="19" t="s">
        <v>492</v>
      </c>
      <c r="B19" s="22" t="s">
        <v>469</v>
      </c>
      <c r="C19" s="22">
        <v>1</v>
      </c>
      <c r="D19" s="22">
        <v>1</v>
      </c>
    </row>
    <row r="20" spans="1:4">
      <c r="A20" s="19" t="s">
        <v>493</v>
      </c>
      <c r="B20" s="22" t="s">
        <v>470</v>
      </c>
      <c r="C20" s="22">
        <v>1</v>
      </c>
      <c r="D20" s="22">
        <v>1</v>
      </c>
    </row>
    <row r="21" spans="1:4">
      <c r="A21" s="19" t="s">
        <v>494</v>
      </c>
      <c r="B21" s="22" t="s">
        <v>452</v>
      </c>
      <c r="C21" s="22">
        <v>1</v>
      </c>
      <c r="D21" s="22">
        <v>0</v>
      </c>
    </row>
    <row r="22" spans="1:4">
      <c r="A22" s="19" t="s">
        <v>495</v>
      </c>
      <c r="B22" s="22" t="s">
        <v>453</v>
      </c>
      <c r="C22" s="22">
        <v>1</v>
      </c>
      <c r="D22" s="22">
        <v>0</v>
      </c>
    </row>
    <row r="23" spans="1:4">
      <c r="A23" s="19" t="s">
        <v>496</v>
      </c>
      <c r="B23" s="22" t="s">
        <v>454</v>
      </c>
      <c r="C23" s="22">
        <v>1</v>
      </c>
      <c r="D23" s="22">
        <v>0</v>
      </c>
    </row>
    <row r="24" spans="1:4">
      <c r="A24" s="19" t="s">
        <v>497</v>
      </c>
      <c r="B24" s="22" t="s">
        <v>455</v>
      </c>
      <c r="C24" s="22">
        <v>1</v>
      </c>
      <c r="D24" s="22">
        <v>0</v>
      </c>
    </row>
    <row r="25" spans="1:4">
      <c r="A25" s="19" t="s">
        <v>498</v>
      </c>
      <c r="B25" s="22" t="s">
        <v>456</v>
      </c>
      <c r="C25" s="22">
        <v>1</v>
      </c>
      <c r="D25" s="22">
        <v>0</v>
      </c>
    </row>
    <row r="26" spans="1:4">
      <c r="A26" s="19" t="s">
        <v>499</v>
      </c>
      <c r="B26" s="22" t="s">
        <v>457</v>
      </c>
      <c r="C26" s="22">
        <v>1</v>
      </c>
      <c r="D26" s="22">
        <v>0</v>
      </c>
    </row>
    <row r="27" spans="1:4">
      <c r="A27" s="19" t="s">
        <v>500</v>
      </c>
      <c r="B27" s="22" t="s">
        <v>461</v>
      </c>
      <c r="C27" s="22">
        <v>1</v>
      </c>
      <c r="D27" s="22">
        <v>0</v>
      </c>
    </row>
    <row r="28" spans="1:4">
      <c r="A28" s="19" t="s">
        <v>501</v>
      </c>
      <c r="B28" s="22" t="s">
        <v>471</v>
      </c>
      <c r="C28" s="22">
        <v>1</v>
      </c>
      <c r="D28" s="22">
        <v>0</v>
      </c>
    </row>
    <row r="29" spans="1:4">
      <c r="A29" s="19" t="s">
        <v>502</v>
      </c>
      <c r="B29" s="22" t="s">
        <v>472</v>
      </c>
      <c r="C29" s="22">
        <v>1</v>
      </c>
      <c r="D29" s="22">
        <v>0</v>
      </c>
    </row>
    <row r="30" spans="1:4">
      <c r="A30" s="19" t="s">
        <v>503</v>
      </c>
      <c r="B30" s="22" t="s">
        <v>447</v>
      </c>
      <c r="C30" s="22">
        <v>0</v>
      </c>
      <c r="D30" s="22">
        <v>1</v>
      </c>
    </row>
    <row r="31" spans="1:4">
      <c r="A31" s="19" t="s">
        <v>504</v>
      </c>
      <c r="B31" s="22" t="s">
        <v>466</v>
      </c>
      <c r="C31" s="22">
        <v>0</v>
      </c>
      <c r="D31" s="22">
        <v>1</v>
      </c>
    </row>
    <row r="32" spans="1:4">
      <c r="A32" s="19" t="s">
        <v>505</v>
      </c>
      <c r="B32" s="22" t="s">
        <v>467</v>
      </c>
      <c r="C32" s="22">
        <v>0</v>
      </c>
      <c r="D32" s="22">
        <v>1</v>
      </c>
    </row>
    <row r="33" spans="1:4">
      <c r="A33" s="19" t="s">
        <v>506</v>
      </c>
      <c r="B33" s="22" t="s">
        <v>468</v>
      </c>
      <c r="C33" s="22">
        <v>0</v>
      </c>
      <c r="D33" s="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7" sqref="D7"/>
    </sheetView>
  </sheetViews>
  <sheetFormatPr defaultColWidth="56.1875" defaultRowHeight="13.5"/>
  <cols>
    <col min="1" max="1" width="15.0625" bestFit="1" customWidth="1"/>
    <col min="2" max="2" width="26.25" bestFit="1" customWidth="1"/>
    <col min="3" max="3" width="18.5625" bestFit="1" customWidth="1"/>
    <col min="4" max="4" width="26" bestFit="1" customWidth="1"/>
  </cols>
  <sheetData>
    <row r="1" spans="1:4" ht="13.9">
      <c r="A1" s="20" t="s">
        <v>441</v>
      </c>
      <c r="B1" s="21" t="s">
        <v>442</v>
      </c>
      <c r="C1" s="21" t="s">
        <v>474</v>
      </c>
      <c r="D1" s="21" t="s">
        <v>473</v>
      </c>
    </row>
    <row r="2" spans="1:4">
      <c r="A2" s="19" t="s">
        <v>475</v>
      </c>
      <c r="B2" s="22" t="s">
        <v>443</v>
      </c>
      <c r="C2" s="22">
        <v>1</v>
      </c>
      <c r="D2" s="22">
        <v>1</v>
      </c>
    </row>
    <row r="3" spans="1:4">
      <c r="A3" s="19" t="s">
        <v>476</v>
      </c>
      <c r="B3" s="22" t="s">
        <v>444</v>
      </c>
      <c r="C3" s="22">
        <v>1</v>
      </c>
      <c r="D3" s="22">
        <v>1</v>
      </c>
    </row>
    <row r="4" spans="1:4">
      <c r="A4" s="19" t="s">
        <v>477</v>
      </c>
      <c r="B4" s="22" t="s">
        <v>445</v>
      </c>
      <c r="C4" s="22">
        <v>1</v>
      </c>
      <c r="D4" s="22">
        <v>1</v>
      </c>
    </row>
    <row r="5" spans="1:4">
      <c r="A5" s="19" t="s">
        <v>478</v>
      </c>
      <c r="B5" s="22" t="s">
        <v>227</v>
      </c>
      <c r="C5" s="22">
        <v>1</v>
      </c>
      <c r="D5" s="22">
        <v>1</v>
      </c>
    </row>
    <row r="6" spans="1:4">
      <c r="A6" s="19" t="s">
        <v>479</v>
      </c>
      <c r="B6" s="22" t="s">
        <v>446</v>
      </c>
      <c r="C6" s="22">
        <v>1</v>
      </c>
      <c r="D6" s="22">
        <v>1</v>
      </c>
    </row>
    <row r="7" spans="1:4">
      <c r="A7" s="19" t="s">
        <v>480</v>
      </c>
      <c r="B7" s="22" t="s">
        <v>233</v>
      </c>
      <c r="C7" s="22">
        <v>1</v>
      </c>
      <c r="D7" s="22">
        <v>1</v>
      </c>
    </row>
    <row r="8" spans="1:4">
      <c r="A8" s="19" t="s">
        <v>481</v>
      </c>
      <c r="B8" s="22" t="s">
        <v>448</v>
      </c>
      <c r="C8" s="22">
        <v>1</v>
      </c>
      <c r="D8" s="22">
        <v>1</v>
      </c>
    </row>
    <row r="9" spans="1:4">
      <c r="A9" s="19" t="s">
        <v>482</v>
      </c>
      <c r="B9" s="22" t="s">
        <v>449</v>
      </c>
      <c r="C9" s="22">
        <v>1</v>
      </c>
      <c r="D9" s="22">
        <v>1</v>
      </c>
    </row>
    <row r="10" spans="1:4">
      <c r="A10" s="19" t="s">
        <v>483</v>
      </c>
      <c r="B10" s="22" t="s">
        <v>450</v>
      </c>
      <c r="C10" s="22">
        <v>1</v>
      </c>
      <c r="D10" s="22">
        <v>1</v>
      </c>
    </row>
    <row r="11" spans="1:4">
      <c r="A11" s="19" t="s">
        <v>484</v>
      </c>
      <c r="B11" s="22" t="s">
        <v>451</v>
      </c>
      <c r="C11" s="22">
        <v>1</v>
      </c>
      <c r="D11" s="22">
        <v>1</v>
      </c>
    </row>
    <row r="12" spans="1:4">
      <c r="A12" s="19" t="s">
        <v>485</v>
      </c>
      <c r="B12" s="22" t="s">
        <v>458</v>
      </c>
      <c r="C12" s="22">
        <v>1</v>
      </c>
      <c r="D12" s="22">
        <v>1</v>
      </c>
    </row>
    <row r="13" spans="1:4">
      <c r="A13" s="19" t="s">
        <v>486</v>
      </c>
      <c r="B13" s="22" t="s">
        <v>459</v>
      </c>
      <c r="C13" s="22">
        <v>1</v>
      </c>
      <c r="D13" s="22">
        <v>1</v>
      </c>
    </row>
    <row r="14" spans="1:4">
      <c r="A14" s="19" t="s">
        <v>487</v>
      </c>
      <c r="B14" s="22" t="s">
        <v>460</v>
      </c>
      <c r="C14" s="22">
        <v>1</v>
      </c>
      <c r="D14" s="22">
        <v>1</v>
      </c>
    </row>
    <row r="15" spans="1:4">
      <c r="A15" s="19" t="s">
        <v>488</v>
      </c>
      <c r="B15" s="22" t="s">
        <v>462</v>
      </c>
      <c r="C15" s="22">
        <v>1</v>
      </c>
      <c r="D15" s="22">
        <v>1</v>
      </c>
    </row>
    <row r="16" spans="1:4">
      <c r="A16" s="19" t="s">
        <v>489</v>
      </c>
      <c r="B16" s="22" t="s">
        <v>463</v>
      </c>
      <c r="C16" s="22">
        <v>1</v>
      </c>
      <c r="D16" s="22">
        <v>1</v>
      </c>
    </row>
    <row r="17" spans="1:4">
      <c r="A17" s="19" t="s">
        <v>490</v>
      </c>
      <c r="B17" s="22" t="s">
        <v>464</v>
      </c>
      <c r="C17" s="22">
        <v>1</v>
      </c>
      <c r="D17" s="22">
        <v>1</v>
      </c>
    </row>
    <row r="18" spans="1:4">
      <c r="A18" s="19" t="s">
        <v>491</v>
      </c>
      <c r="B18" s="22" t="s">
        <v>465</v>
      </c>
      <c r="C18" s="22">
        <v>1</v>
      </c>
      <c r="D18" s="22">
        <v>1</v>
      </c>
    </row>
    <row r="19" spans="1:4">
      <c r="A19" s="19" t="s">
        <v>492</v>
      </c>
      <c r="B19" s="22" t="s">
        <v>469</v>
      </c>
      <c r="C19" s="22">
        <v>1</v>
      </c>
      <c r="D19" s="22">
        <v>1</v>
      </c>
    </row>
    <row r="20" spans="1:4">
      <c r="A20" s="19" t="s">
        <v>493</v>
      </c>
      <c r="B20" s="22" t="s">
        <v>470</v>
      </c>
      <c r="C20" s="22">
        <v>1</v>
      </c>
      <c r="D20" s="22">
        <v>1</v>
      </c>
    </row>
    <row r="21" spans="1:4">
      <c r="A21" s="19" t="s">
        <v>494</v>
      </c>
      <c r="B21" s="22" t="s">
        <v>452</v>
      </c>
      <c r="C21" s="22">
        <v>1</v>
      </c>
      <c r="D21" s="22">
        <v>0</v>
      </c>
    </row>
    <row r="22" spans="1:4">
      <c r="A22" s="19" t="s">
        <v>495</v>
      </c>
      <c r="B22" s="22" t="s">
        <v>453</v>
      </c>
      <c r="C22" s="22">
        <v>1</v>
      </c>
      <c r="D22" s="22">
        <v>0</v>
      </c>
    </row>
    <row r="23" spans="1:4">
      <c r="A23" s="19" t="s">
        <v>496</v>
      </c>
      <c r="B23" s="22" t="s">
        <v>454</v>
      </c>
      <c r="C23" s="22">
        <v>1</v>
      </c>
      <c r="D23" s="22">
        <v>0</v>
      </c>
    </row>
    <row r="24" spans="1:4">
      <c r="A24" s="19" t="s">
        <v>497</v>
      </c>
      <c r="B24" s="22" t="s">
        <v>455</v>
      </c>
      <c r="C24" s="22">
        <v>1</v>
      </c>
      <c r="D24" s="22">
        <v>0</v>
      </c>
    </row>
    <row r="25" spans="1:4">
      <c r="A25" s="19" t="s">
        <v>498</v>
      </c>
      <c r="B25" s="22" t="s">
        <v>456</v>
      </c>
      <c r="C25" s="22">
        <v>1</v>
      </c>
      <c r="D25" s="22">
        <v>0</v>
      </c>
    </row>
    <row r="26" spans="1:4">
      <c r="A26" s="19" t="s">
        <v>499</v>
      </c>
      <c r="B26" s="22" t="s">
        <v>457</v>
      </c>
      <c r="C26" s="22">
        <v>1</v>
      </c>
      <c r="D26" s="22">
        <v>0</v>
      </c>
    </row>
    <row r="27" spans="1:4">
      <c r="A27" s="19" t="s">
        <v>500</v>
      </c>
      <c r="B27" s="22" t="s">
        <v>461</v>
      </c>
      <c r="C27" s="22">
        <v>1</v>
      </c>
      <c r="D27" s="22">
        <v>0</v>
      </c>
    </row>
    <row r="28" spans="1:4">
      <c r="A28" s="19" t="s">
        <v>501</v>
      </c>
      <c r="B28" s="22" t="s">
        <v>471</v>
      </c>
      <c r="C28" s="22">
        <v>1</v>
      </c>
      <c r="D28" s="22">
        <v>0</v>
      </c>
    </row>
    <row r="29" spans="1:4">
      <c r="A29" s="19" t="s">
        <v>502</v>
      </c>
      <c r="B29" s="22" t="s">
        <v>472</v>
      </c>
      <c r="C29" s="22">
        <v>1</v>
      </c>
      <c r="D29" s="22">
        <v>0</v>
      </c>
    </row>
    <row r="30" spans="1:4">
      <c r="A30" s="19" t="s">
        <v>503</v>
      </c>
      <c r="B30" s="22" t="s">
        <v>447</v>
      </c>
      <c r="C30" s="22">
        <v>0</v>
      </c>
      <c r="D30" s="22">
        <v>1</v>
      </c>
    </row>
    <row r="31" spans="1:4">
      <c r="A31" s="19" t="s">
        <v>504</v>
      </c>
      <c r="B31" s="22" t="s">
        <v>466</v>
      </c>
      <c r="C31" s="22">
        <v>0</v>
      </c>
      <c r="D31" s="22">
        <v>1</v>
      </c>
    </row>
    <row r="32" spans="1:4">
      <c r="A32" s="19" t="s">
        <v>505</v>
      </c>
      <c r="B32" s="22" t="s">
        <v>467</v>
      </c>
      <c r="C32" s="22">
        <v>0</v>
      </c>
      <c r="D32" s="22">
        <v>1</v>
      </c>
    </row>
    <row r="33" spans="1:4">
      <c r="A33" s="19" t="s">
        <v>506</v>
      </c>
      <c r="B33" s="22" t="s">
        <v>468</v>
      </c>
      <c r="C33" s="22">
        <v>0</v>
      </c>
      <c r="D33" s="2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e02472-428d-4e4b-a8a2-4a2d4b78b5a4">
      <Terms xmlns="http://schemas.microsoft.com/office/infopath/2007/PartnerControls"/>
    </lcf76f155ced4ddcb4097134ff3c332f>
    <TaxCatchAll xmlns="2a9cfe5d-ebc6-4618-adda-f78230cc5c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1BAF3DA67FD4D8248899D0B100C76" ma:contentTypeVersion="16" ma:contentTypeDescription="Create a new document." ma:contentTypeScope="" ma:versionID="6e273b7eb48f7a041ba8e4dbb0df6f7a">
  <xsd:schema xmlns:xsd="http://www.w3.org/2001/XMLSchema" xmlns:xs="http://www.w3.org/2001/XMLSchema" xmlns:p="http://schemas.microsoft.com/office/2006/metadata/properties" xmlns:ns2="c8e02472-428d-4e4b-a8a2-4a2d4b78b5a4" xmlns:ns3="2a9cfe5d-ebc6-4618-adda-f78230cc5c80" targetNamespace="http://schemas.microsoft.com/office/2006/metadata/properties" ma:root="true" ma:fieldsID="94dba8fc8a0bdd77307e971b774d360a" ns2:_="" ns3:_="">
    <xsd:import namespace="c8e02472-428d-4e4b-a8a2-4a2d4b78b5a4"/>
    <xsd:import namespace="2a9cfe5d-ebc6-4618-adda-f78230cc5c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02472-428d-4e4b-a8a2-4a2d4b78b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f1d3b5-dde8-4d7c-bac2-054fbf0f3f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cfe5d-ebc6-4618-adda-f78230cc5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628dc3-eecd-4657-84ef-26b3c07f97d3}" ma:internalName="TaxCatchAll" ma:showField="CatchAllData" ma:web="2a9cfe5d-ebc6-4618-adda-f78230cc5c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6D184B-1DEC-4814-A960-29639CBF9650}">
  <ds:schemaRefs>
    <ds:schemaRef ds:uri="http://schemas.microsoft.com/office/2006/metadata/properties"/>
    <ds:schemaRef ds:uri="http://schemas.microsoft.com/office/infopath/2007/PartnerControls"/>
    <ds:schemaRef ds:uri="c8e02472-428d-4e4b-a8a2-4a2d4b78b5a4"/>
    <ds:schemaRef ds:uri="2a9cfe5d-ebc6-4618-adda-f78230cc5c80"/>
  </ds:schemaRefs>
</ds:datastoreItem>
</file>

<file path=customXml/itemProps2.xml><?xml version="1.0" encoding="utf-8"?>
<ds:datastoreItem xmlns:ds="http://schemas.openxmlformats.org/officeDocument/2006/customXml" ds:itemID="{2DF0FC38-40E2-41C9-902E-41B9A28A1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02472-428d-4e4b-a8a2-4a2d4b78b5a4"/>
    <ds:schemaRef ds:uri="2a9cfe5d-ebc6-4618-adda-f78230cc5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E8E74-0ACF-462B-8592-1E85EB24E4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Actives</vt:lpstr>
      <vt:lpstr>Bases</vt:lpstr>
      <vt:lpstr>Top 15 Actives Detail</vt:lpstr>
      <vt:lpstr>Compatibility</vt:lpstr>
      <vt:lpstr>Scoring Guide</vt:lpstr>
      <vt:lpstr>AI Taxonomy</vt:lpstr>
      <vt:lpstr>anodiam_skin_concern_detection</vt:lpstr>
      <vt:lpstr>anodiam_user_skin_concern_score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Tobin</dc:creator>
  <cp:lastModifiedBy>User</cp:lastModifiedBy>
  <dcterms:created xsi:type="dcterms:W3CDTF">2026-06-12T06:54:26Z</dcterms:created>
  <dcterms:modified xsi:type="dcterms:W3CDTF">2026-06-29T04:02:32Z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0x010100E6B1BAF3DA67FD4D8248899D0B100C76</vt:lpwstr>
  </property>
  <property fmtid="{D5CDD505-2E9C-101B-9397-08002B2CF9AE}" pid="3" name="MediaServiceImageTags">
    <vt:lpwstr/>
  </property>
</Properties>
</file>